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总表" sheetId="1" state="visible" r:id="rId1"/>
    <sheet xmlns:r="http://schemas.openxmlformats.org/officeDocument/2006/relationships" name="配置表" sheetId="2" state="visible" r:id="rId2"/>
    <sheet xmlns:r="http://schemas.openxmlformats.org/officeDocument/2006/relationships" name="交易订单表" sheetId="3" state="visible" r:id="rId3"/>
    <sheet xmlns:r="http://schemas.openxmlformats.org/officeDocument/2006/relationships" name="持仓明细表" sheetId="4" state="visible" r:id="rId4"/>
    <sheet xmlns:r="http://schemas.openxmlformats.org/officeDocument/2006/relationships" name="每日账户汇总" sheetId="5" state="visible" r:id="rId5"/>
    <sheet xmlns:r="http://schemas.openxmlformats.org/officeDocument/2006/relationships" name="策略信号日志" sheetId="6" state="visible" r:id="rId6"/>
    <sheet xmlns:r="http://schemas.openxmlformats.org/officeDocument/2006/relationships" name="审计与修正记录" sheetId="7" state="visible" r:id="rId7"/>
    <sheet xmlns:r="http://schemas.openxmlformats.org/officeDocument/2006/relationships" name="每日流程检查" sheetId="8" state="visible" r:id="rId8"/>
    <sheet xmlns:r="http://schemas.openxmlformats.org/officeDocument/2006/relationships" name="账户口径说明" sheetId="9" state="visible" r:id="rId9"/>
  </sheets>
  <definedNames>
    <definedName name="_xlnm._FilterDatabase" localSheetId="0" hidden="1">'交易总表'!$A$1:$AO$91</definedName>
    <definedName name="_xlnm._FilterDatabase" localSheetId="1" hidden="1">'配置表'!$A$1:$C$9</definedName>
    <definedName name="_xlnm._FilterDatabase" localSheetId="2" hidden="1">'交易订单表'!$A$1:$P$17</definedName>
    <definedName name="_xlnm._FilterDatabase" localSheetId="3" hidden="1">'持仓明细表'!$A$1:$L$25</definedName>
    <definedName name="_xlnm._FilterDatabase" localSheetId="4" hidden="1">'每日账户汇总'!$A$1:$N$5</definedName>
    <definedName name="_xlnm._FilterDatabase" localSheetId="5" hidden="1">'策略信号日志'!$A$1:$L$20</definedName>
    <definedName name="_xlnm._FilterDatabase" localSheetId="6" hidden="1">'审计与修正记录'!$A$1:$K$21</definedName>
    <definedName name="_xlnm._FilterDatabase" localSheetId="7" hidden="1">'每日流程检查'!$A$1:$G$36</definedName>
    <definedName name="_xlnm._FilterDatabase" localSheetId="8" hidden="1">'账户口径说明'!$A$1:$D$11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.0000"/>
    <numFmt numFmtId="166" formatCode="0.0"/>
    <numFmt numFmtId="167" formatCode="yyyy-mm-dd hh:mm"/>
    <numFmt numFmtId="168" formatCode="#,##0.00;[Red]-#,##0.00;-"/>
    <numFmt numFmtId="169" formatCode="0.00%;[Red]-0.00%;-"/>
    <numFmt numFmtId="170" formatCode="0.00x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EADCF8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244062"/>
      </patternFill>
    </fill>
    <fill>
      <patternFill patternType="solid">
        <fgColor rgb="00375623"/>
      </patternFill>
    </fill>
    <fill>
      <patternFill patternType="solid">
        <fgColor rgb="00806000"/>
      </patternFill>
    </fill>
    <fill>
      <patternFill patternType="solid">
        <fgColor rgb="005B3F8C"/>
      </patternFill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1" fillId="1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 vertical="top" wrapText="1"/>
    </xf>
    <xf numFmtId="3" fontId="0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right" vertical="top" wrapText="1"/>
    </xf>
    <xf numFmtId="166" fontId="0" fillId="0" borderId="0" applyAlignment="1" pivotButton="0" quotePrefix="0" xfId="0">
      <alignment horizontal="right" vertical="top" wrapText="1"/>
    </xf>
    <xf numFmtId="167" fontId="0" fillId="0" borderId="0" applyAlignment="1" pivotButton="0" quotePrefix="0" xfId="0">
      <alignment horizontal="right" vertical="top" wrapText="1"/>
    </xf>
    <xf numFmtId="0" fontId="1" fillId="13" borderId="1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 vertical="top" wrapText="1"/>
    </xf>
    <xf numFmtId="168" fontId="0" fillId="0" borderId="0" applyAlignment="1" pivotButton="0" quotePrefix="0" xfId="0">
      <alignment horizontal="right" vertical="top" wrapText="1"/>
    </xf>
    <xf numFmtId="169" fontId="0" fillId="0" borderId="0" applyAlignment="1" pivotButton="0" quotePrefix="0" xfId="0">
      <alignment horizontal="right" vertical="top" wrapText="1"/>
    </xf>
    <xf numFmtId="10" fontId="0" fillId="0" borderId="0" applyAlignment="1" pivotButton="0" quotePrefix="0" xfId="0">
      <alignment horizontal="right" vertical="top" wrapText="1"/>
    </xf>
    <xf numFmtId="0" fontId="1" fillId="14" borderId="1" applyAlignment="1" pivotButton="0" quotePrefix="0" xfId="0">
      <alignment horizontal="center" vertical="center" wrapText="1"/>
    </xf>
    <xf numFmtId="170" fontId="0" fillId="0" borderId="0" applyAlignment="1" pivotButton="0" quotePrefix="0" xfId="0">
      <alignment horizontal="right" vertical="top" wrapText="1"/>
    </xf>
    <xf numFmtId="0" fontId="1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8" customWidth="1" min="8" max="8"/>
    <col width="10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1" customWidth="1" min="18" max="18"/>
    <col width="10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1" customWidth="1" min="25" max="25"/>
    <col width="11" customWidth="1" min="26" max="26"/>
    <col width="10" customWidth="1" min="27" max="27"/>
    <col width="10" customWidth="1" min="28" max="28"/>
    <col width="10" customWidth="1" min="29" max="29"/>
    <col width="10" customWidth="1" min="30" max="30"/>
    <col width="23" customWidth="1" min="31" max="31"/>
    <col width="32" customWidth="1" min="32" max="32"/>
    <col width="32" customWidth="1" min="33" max="33"/>
    <col width="32" customWidth="1" min="34" max="34"/>
    <col width="32" customWidth="1" min="35" max="35"/>
    <col width="22" customWidth="1" min="36" max="36"/>
    <col width="32" customWidth="1" min="37" max="37"/>
    <col width="32" customWidth="1" min="38" max="38"/>
    <col width="12" customWidth="1" min="39" max="39"/>
    <col width="10" customWidth="1" min="40" max="40"/>
    <col width="32" customWidth="1" min="41" max="41"/>
  </cols>
  <sheetData>
    <row r="1">
      <c r="A1" s="1" t="inlineStr">
        <is>
          <t>日期</t>
        </is>
      </c>
      <c r="B1" s="1" t="inlineStr">
        <is>
          <t>分段</t>
        </is>
      </c>
      <c r="C1" s="1" t="inlineStr">
        <is>
          <t>记录类型</t>
        </is>
      </c>
      <c r="D1" s="1" t="inlineStr">
        <is>
          <t>时间</t>
        </is>
      </c>
      <c r="E1" s="1" t="inlineStr">
        <is>
          <t>股票代码</t>
        </is>
      </c>
      <c r="F1" s="1" t="inlineStr">
        <is>
          <t>名称</t>
        </is>
      </c>
      <c r="G1" s="1" t="inlineStr">
        <is>
          <t>方向</t>
        </is>
      </c>
      <c r="H1" s="1" t="inlineStr">
        <is>
          <t>动作</t>
        </is>
      </c>
      <c r="I1" s="1" t="inlineStr">
        <is>
          <t>数量</t>
        </is>
      </c>
      <c r="J1" s="1" t="inlineStr">
        <is>
          <t>价格</t>
        </is>
      </c>
      <c r="K1" s="1" t="inlineStr">
        <is>
          <t>平均成本</t>
        </is>
      </c>
      <c r="L1" s="1" t="inlineStr">
        <is>
          <t>成交/计划金额</t>
        </is>
      </c>
      <c r="M1" s="1" t="inlineStr">
        <is>
          <t>佣金</t>
        </is>
      </c>
      <c r="N1" s="1" t="inlineStr">
        <is>
          <t>印花税</t>
        </is>
      </c>
      <c r="O1" s="1" t="inlineStr">
        <is>
          <t>过户/经手费</t>
        </is>
      </c>
      <c r="P1" s="1" t="inlineStr">
        <is>
          <t>交易成本</t>
        </is>
      </c>
      <c r="Q1" s="1" t="inlineStr">
        <is>
          <t>现金净流</t>
        </is>
      </c>
      <c r="R1" s="1" t="inlineStr">
        <is>
          <t>组合现金</t>
        </is>
      </c>
      <c r="S1" s="1" t="inlineStr">
        <is>
          <t>组合市值</t>
        </is>
      </c>
      <c r="T1" s="1" t="inlineStr">
        <is>
          <t>个股市值</t>
        </is>
      </c>
      <c r="U1" s="1" t="inlineStr">
        <is>
          <t>期初权益</t>
        </is>
      </c>
      <c r="V1" s="1" t="inlineStr">
        <is>
          <t>期末权益/总资产</t>
        </is>
      </c>
      <c r="W1" s="1" t="inlineStr">
        <is>
          <t>当日盈亏</t>
        </is>
      </c>
      <c r="X1" s="1" t="inlineStr">
        <is>
          <t>当日收益率%</t>
        </is>
      </c>
      <c r="Y1" s="1" t="inlineStr">
        <is>
          <t>已实现盈亏</t>
        </is>
      </c>
      <c r="Z1" s="1" t="inlineStr">
        <is>
          <t>未实现盈亏</t>
        </is>
      </c>
      <c r="AA1" s="1" t="inlineStr">
        <is>
          <t>未实现收益率%</t>
        </is>
      </c>
      <c r="AB1" s="1" t="inlineStr">
        <is>
          <t>总暴露%</t>
        </is>
      </c>
      <c r="AC1" s="1" t="inlineStr">
        <is>
          <t>仓位%</t>
        </is>
      </c>
      <c r="AD1" s="1" t="inlineStr">
        <is>
          <t>最大回撤%</t>
        </is>
      </c>
      <c r="AE1" s="1" t="inlineStr">
        <is>
          <t>风险状态</t>
        </is>
      </c>
      <c r="AF1" s="1" t="inlineStr">
        <is>
          <t>策略标签</t>
        </is>
      </c>
      <c r="AG1" s="1" t="inlineStr">
        <is>
          <t>策略ID</t>
        </is>
      </c>
      <c r="AH1" s="1" t="inlineStr">
        <is>
          <t>评分因子</t>
        </is>
      </c>
      <c r="AI1" s="1" t="inlineStr">
        <is>
          <t>因子/策略权重</t>
        </is>
      </c>
      <c r="AJ1" s="1" t="inlineStr">
        <is>
          <t>策略状态</t>
        </is>
      </c>
      <c r="AK1" s="1" t="inlineStr">
        <is>
          <t>买卖/复查理由</t>
        </is>
      </c>
      <c r="AL1" s="1" t="inlineStr">
        <is>
          <t>验证口径</t>
        </is>
      </c>
      <c r="AM1" s="1" t="inlineStr">
        <is>
          <t>后续验证</t>
        </is>
      </c>
      <c r="AN1" s="1" t="inlineStr">
        <is>
          <t>判断状态</t>
        </is>
      </c>
      <c r="AO1" s="1" t="inlineStr">
        <is>
          <t>备注</t>
        </is>
      </c>
    </row>
    <row r="2">
      <c r="A2" s="2" t="inlineStr">
        <is>
          <t>2026-06-05</t>
        </is>
      </c>
      <c r="B2" s="2" t="inlineStr">
        <is>
          <t>2026-06-05 期初持仓同步</t>
        </is>
      </c>
      <c r="C2" s="2" t="inlineStr">
        <is>
          <t>期初持仓</t>
        </is>
      </c>
      <c r="D2" s="2" t="inlineStr"/>
      <c r="E2" s="2" t="inlineStr">
        <is>
          <t>600519</t>
        </is>
      </c>
      <c r="F2" s="2" t="inlineStr">
        <is>
          <t>贵州茅台</t>
        </is>
      </c>
      <c r="G2" s="2" t="inlineStr">
        <is>
          <t>买入</t>
        </is>
      </c>
      <c r="H2" s="2" t="inlineStr">
        <is>
          <t>期初持仓同步</t>
        </is>
      </c>
      <c r="I2" s="2" t="inlineStr">
        <is>
          <t>100</t>
        </is>
      </c>
      <c r="J2" s="2" t="inlineStr">
        <is>
          <t>1500.9501</t>
        </is>
      </c>
      <c r="K2" s="2" t="inlineStr"/>
      <c r="L2" s="2" t="inlineStr">
        <is>
          <t>150095.01</t>
        </is>
      </c>
      <c r="M2" s="2" t="inlineStr">
        <is>
          <t>45.03</t>
        </is>
      </c>
      <c r="N2" s="2" t="inlineStr">
        <is>
          <t>0.00</t>
        </is>
      </c>
      <c r="O2" s="2" t="inlineStr">
        <is>
          <t>0.00</t>
        </is>
      </c>
      <c r="P2" s="2" t="inlineStr">
        <is>
          <t>45.03</t>
        </is>
      </c>
      <c r="Q2" s="2" t="inlineStr">
        <is>
          <t>-150140.04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manual-sync</t>
        </is>
      </c>
      <c r="AG2" s="2" t="inlineStr">
        <is>
          <t>manual-sync</t>
        </is>
      </c>
      <c r="AH2" s="2" t="inlineStr"/>
      <c r="AI2" s="2" t="inlineStr"/>
      <c r="AJ2" s="2" t="inlineStr"/>
      <c r="AK2" s="2" t="inlineStr">
        <is>
          <t>不是2026年2月真实交易；仅用于承接量化系统开始时已存在的600519纸面持仓</t>
        </is>
      </c>
      <c r="AL2" s="2" t="inlineStr"/>
      <c r="AM2" s="2" t="inlineStr"/>
      <c r="AN2" s="2" t="inlineStr">
        <is>
          <t>已成交</t>
        </is>
      </c>
      <c r="AO2" s="2" t="inlineStr">
        <is>
          <t>原始来源为本地回测未确认卖出后的持仓同步；总表按2026-06-05期初持仓处理，不作为量化交易启动前成交。</t>
        </is>
      </c>
    </row>
    <row r="3">
      <c r="A3" s="3" t="inlineStr">
        <is>
          <t>2026-06-05</t>
        </is>
      </c>
      <c r="B3" s="3" t="inlineStr">
        <is>
          <t>2026-06-05 原Excel交易计划</t>
        </is>
      </c>
      <c r="C3" s="3" t="inlineStr">
        <is>
          <t>交易计划</t>
        </is>
      </c>
      <c r="D3" s="3" t="inlineStr">
        <is>
          <t>13:00</t>
        </is>
      </c>
      <c r="E3" s="3" t="inlineStr">
        <is>
          <t>000001</t>
        </is>
      </c>
      <c r="F3" s="3" t="inlineStr">
        <is>
          <t>平安银行</t>
        </is>
      </c>
      <c r="G3" s="3" t="inlineStr">
        <is>
          <t>买入</t>
        </is>
      </c>
      <c r="H3" s="3" t="inlineStr">
        <is>
          <t>13:00若强势延续则纸面买入</t>
        </is>
      </c>
      <c r="I3" s="3" t="inlineStr">
        <is>
          <t>36200</t>
        </is>
      </c>
      <c r="J3" s="3" t="inlineStr">
        <is>
          <t>11.02</t>
        </is>
      </c>
      <c r="K3" s="3" t="inlineStr"/>
      <c r="L3" s="3" t="inlineStr">
        <is>
          <t>398924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>
        <is>
          <t>39.8924</t>
        </is>
      </c>
      <c r="AD3" s="3" t="inlineStr"/>
      <c r="AE3" s="3" t="inlineStr"/>
      <c r="AF3" s="3" t="inlineStr">
        <is>
          <t>纸面买入主仓</t>
        </is>
      </c>
      <c r="AG3" s="3" t="inlineStr">
        <is>
          <t>纸面买入主仓</t>
        </is>
      </c>
      <c r="AH3" s="3" t="inlineStr"/>
      <c r="AI3" s="3" t="inlineStr"/>
      <c r="AJ3" s="3" t="inlineStr"/>
      <c r="AK3" s="3" t="inlineStr">
        <is>
          <t>维持强于池子；不跌回11.02；量能不恶化</t>
        </is>
      </c>
      <c r="AL3" s="3" t="inlineStr">
        <is>
          <t>方向、动作、纪律分开评估</t>
        </is>
      </c>
      <c r="AM3" s="3" t="inlineStr">
        <is>
          <t>需补审</t>
        </is>
      </c>
      <c r="AN3" s="3" t="inlineStr">
        <is>
          <t>逾期未留证</t>
        </is>
      </c>
      <c r="AO3" s="3" t="inlineStr">
        <is>
          <t>仍为观察池中唯一尝试转强样本，执行预设主攻仓。；状态规范化：原“待验证”，因已过复核时点且未留后验证据，改为“逾期未留证”；原后续验证=未填写具体复核时点</t>
        </is>
      </c>
    </row>
    <row r="4">
      <c r="A4" s="3" t="inlineStr">
        <is>
          <t>2026-06-05</t>
        </is>
      </c>
      <c r="B4" s="3" t="inlineStr">
        <is>
          <t>2026-06-05 原Excel交易计划</t>
        </is>
      </c>
      <c r="C4" s="3" t="inlineStr">
        <is>
          <t>交易计划</t>
        </is>
      </c>
      <c r="D4" s="3" t="inlineStr">
        <is>
          <t>13:00</t>
        </is>
      </c>
      <c r="E4" s="3" t="inlineStr">
        <is>
          <t>000858</t>
        </is>
      </c>
      <c r="F4" s="3" t="inlineStr">
        <is>
          <t>五粮液</t>
        </is>
      </c>
      <c r="G4" s="3" t="inlineStr">
        <is>
          <t>买入</t>
        </is>
      </c>
      <c r="H4" s="3" t="inlineStr">
        <is>
          <t>13:00只在反弹延续时纸面买入</t>
        </is>
      </c>
      <c r="I4" s="3" t="inlineStr">
        <is>
          <t>3000</t>
        </is>
      </c>
      <c r="J4" s="3" t="inlineStr">
        <is>
          <t>81.69</t>
        </is>
      </c>
      <c r="K4" s="3" t="inlineStr"/>
      <c r="L4" s="3" t="inlineStr">
        <is>
          <t>245070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>
        <is>
          <t>24.507</t>
        </is>
      </c>
      <c r="AD4" s="3" t="inlineStr"/>
      <c r="AE4" s="3" t="inlineStr"/>
      <c r="AF4" s="3" t="inlineStr">
        <is>
          <t>纸面买入副仓</t>
        </is>
      </c>
      <c r="AG4" s="3" t="inlineStr">
        <is>
          <t>纸面买入副仓</t>
        </is>
      </c>
      <c r="AH4" s="3" t="inlineStr"/>
      <c r="AI4" s="3" t="inlineStr"/>
      <c r="AJ4" s="3" t="inlineStr"/>
      <c r="AK4" s="3" t="inlineStr">
        <is>
          <t>不破81.52；反弹有承接；不能冲高回落</t>
        </is>
      </c>
      <c r="AL4" s="3" t="inlineStr">
        <is>
          <t>方向、动作、纪律分开评估</t>
        </is>
      </c>
      <c r="AM4" s="3" t="inlineStr">
        <is>
          <t>需补审</t>
        </is>
      </c>
      <c r="AN4" s="3" t="inlineStr">
        <is>
          <t>逾期未留证</t>
        </is>
      </c>
      <c r="AO4" s="3" t="inlineStr">
        <is>
          <t>评分最高但仍弱势，按预设只给副攻反弹仓。；状态规范化：原“待验证”，因已过复核时点且未留后验证据，改为“逾期未留证”；原后续验证=未填写具体复核时点</t>
        </is>
      </c>
    </row>
    <row r="5">
      <c r="A5" s="3" t="inlineStr">
        <is>
          <t>2026-06-05</t>
        </is>
      </c>
      <c r="B5" s="3" t="inlineStr">
        <is>
          <t>2026-06-05 原Excel交易计划</t>
        </is>
      </c>
      <c r="C5" s="3" t="inlineStr">
        <is>
          <t>交易计划</t>
        </is>
      </c>
      <c r="D5" s="3" t="inlineStr">
        <is>
          <t>13:00</t>
        </is>
      </c>
      <c r="E5" s="3" t="inlineStr">
        <is>
          <t>600000</t>
        </is>
      </c>
      <c r="F5" s="3" t="inlineStr">
        <is>
          <t>浦发银行</t>
        </is>
      </c>
      <c r="G5" s="3" t="inlineStr">
        <is>
          <t>买入</t>
        </is>
      </c>
      <c r="H5" s="3" t="inlineStr">
        <is>
          <t>13:00小仓纸面验证</t>
        </is>
      </c>
      <c r="I5" s="3" t="inlineStr">
        <is>
          <t>16200</t>
        </is>
      </c>
      <c r="J5" s="3" t="inlineStr">
        <is>
          <t>9.23</t>
        </is>
      </c>
      <c r="K5" s="3" t="inlineStr"/>
      <c r="L5" s="3" t="inlineStr">
        <is>
          <t>149526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>
        <is>
          <t>14.9526</t>
        </is>
      </c>
      <c r="AD5" s="3" t="inlineStr"/>
      <c r="AE5" s="3" t="inlineStr"/>
      <c r="AF5" s="3" t="inlineStr">
        <is>
          <t>纸面买入小仓</t>
        </is>
      </c>
      <c r="AG5" s="3" t="inlineStr">
        <is>
          <t>纸面买入小仓</t>
        </is>
      </c>
      <c r="AH5" s="3" t="inlineStr"/>
      <c r="AI5" s="3" t="inlineStr"/>
      <c r="AJ5" s="3" t="inlineStr"/>
      <c r="AK5" s="3" t="inlineStr">
        <is>
          <t>维持9.23上方；波动低；不弱于银行样本</t>
        </is>
      </c>
      <c r="AL5" s="3" t="inlineStr">
        <is>
          <t>方向、动作、纪律分开评估</t>
        </is>
      </c>
      <c r="AM5" s="3" t="inlineStr">
        <is>
          <t>需补审</t>
        </is>
      </c>
      <c r="AN5" s="3" t="inlineStr">
        <is>
          <t>逾期未留证</t>
        </is>
      </c>
      <c r="AO5" s="3" t="inlineStr">
        <is>
          <t>低波动稳定仓，按预设小仓验证。；状态规范化：原“待验证”，因已过复核时点且未留后验证据，改为“逾期未留证”；原后续验证=未填写具体复核时点</t>
        </is>
      </c>
    </row>
    <row r="6">
      <c r="A6" s="3" t="inlineStr">
        <is>
          <t>2026-06-05</t>
        </is>
      </c>
      <c r="B6" s="3" t="inlineStr">
        <is>
          <t>2026-06-05 原Excel交易计划</t>
        </is>
      </c>
      <c r="C6" s="3" t="inlineStr">
        <is>
          <t>交易计划</t>
        </is>
      </c>
      <c r="D6" s="3" t="inlineStr"/>
      <c r="E6" s="3" t="inlineStr">
        <is>
          <t>600519</t>
        </is>
      </c>
      <c r="F6" s="3" t="inlineStr">
        <is>
          <t>贵州茅台</t>
        </is>
      </c>
      <c r="G6" s="3" t="inlineStr">
        <is>
          <t>买入</t>
        </is>
      </c>
      <c r="H6" s="3" t="inlineStr">
        <is>
          <t>连续持仓估值，不日结卖出</t>
        </is>
      </c>
      <c r="I6" s="3" t="inlineStr">
        <is>
          <t>100</t>
        </is>
      </c>
      <c r="J6" s="3" t="inlineStr">
        <is>
          <t>1501.4004</t>
        </is>
      </c>
      <c r="K6" s="3" t="inlineStr"/>
      <c r="L6" s="3" t="inlineStr">
        <is>
          <t>150140.04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>
        <is>
          <t>125600</t>
        </is>
      </c>
      <c r="U6" s="3" t="inlineStr"/>
      <c r="V6" s="3" t="inlineStr"/>
      <c r="W6" s="3" t="inlineStr"/>
      <c r="X6" s="3" t="inlineStr"/>
      <c r="Y6" s="3" t="inlineStr">
        <is>
          <t>-24540.04</t>
        </is>
      </c>
      <c r="Z6" s="3" t="inlineStr">
        <is>
          <t>-24540.04</t>
        </is>
      </c>
      <c r="AA6" s="3" t="inlineStr">
        <is>
          <t>-16.3448</t>
        </is>
      </c>
      <c r="AB6" s="3" t="inlineStr"/>
      <c r="AC6" s="3" t="inlineStr">
        <is>
          <t>15.014</t>
        </is>
      </c>
      <c r="AD6" s="3" t="inlineStr"/>
      <c r="AE6" s="3" t="inlineStr"/>
      <c r="AF6" s="3" t="inlineStr">
        <is>
          <t>不买/对照</t>
        </is>
      </c>
      <c r="AG6" s="3" t="inlineStr">
        <is>
          <t>不买/对照</t>
        </is>
      </c>
      <c r="AH6" s="3" t="inlineStr"/>
      <c r="AI6" s="3" t="inlineStr"/>
      <c r="AJ6" s="3" t="inlineStr"/>
      <c r="AK6" s="3" t="inlineStr">
        <is>
          <t>无</t>
        </is>
      </c>
      <c r="AL6" s="3" t="inlineStr">
        <is>
          <t>用于检验防守判断</t>
        </is>
      </c>
      <c r="AM6" s="3" t="inlineStr">
        <is>
          <t>需补审</t>
        </is>
      </c>
      <c r="AN6" s="3" t="inlineStr">
        <is>
          <t>逾期未留证</t>
        </is>
      </c>
      <c r="AO6" s="3" t="inlineStr">
        <is>
          <t>保留连续持仓；不做日结卖出；今日按1256.00估值，未实现盈亏-24540.04。；状态规范化：原“待验证”，因已过复核时点且未留后验证据，改为“逾期未留证”；原后续验证=未填写具体复核时点</t>
        </is>
      </c>
    </row>
    <row r="7">
      <c r="A7" s="4" t="inlineStr">
        <is>
          <t>2026-06-05</t>
        </is>
      </c>
      <c r="B7" s="4" t="inlineStr">
        <is>
          <t>2026-06-05 13:00组合快照</t>
        </is>
      </c>
      <c r="C7" s="4" t="inlineStr">
        <is>
          <t>盘中复查</t>
        </is>
      </c>
      <c r="D7" s="4" t="inlineStr">
        <is>
          <t>13:00</t>
        </is>
      </c>
      <c r="E7" s="4" t="inlineStr"/>
      <c r="F7" s="4" t="inlineStr"/>
      <c r="G7" s="4" t="inlineStr"/>
      <c r="H7" s="4" t="inlineStr">
        <is>
          <t>13:00纸面建仓完成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>
        <is>
          <t>历史Excel盘中组合快照，非正式日结权益行</t>
        </is>
      </c>
      <c r="AL7" s="4" t="inlineStr"/>
      <c r="AM7" s="4" t="inlineStr"/>
      <c r="AN7" s="4" t="inlineStr"/>
      <c r="AO7" s="4" t="inlineStr">
        <is>
          <t>原组合快照迁出: cash=206480, stock_value=793520, daily_return_pct=0</t>
        </is>
      </c>
    </row>
    <row r="8">
      <c r="A8" s="4" t="inlineStr">
        <is>
          <t>2026-06-05</t>
        </is>
      </c>
      <c r="B8" s="4" t="inlineStr">
        <is>
          <t>2026-06-05 13:32组合快照</t>
        </is>
      </c>
      <c r="C8" s="4" t="inlineStr">
        <is>
          <t>盘中复查</t>
        </is>
      </c>
      <c r="D8" s="4" t="inlineStr">
        <is>
          <t>13:32</t>
        </is>
      </c>
      <c r="E8" s="4" t="inlineStr"/>
      <c r="F8" s="4" t="inlineStr"/>
      <c r="G8" s="4" t="inlineStr"/>
      <c r="H8" s="4" t="inlineStr">
        <is>
          <t>13:30复查：不加仓，保留现金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>
        <is>
          <t>历史Excel盘中组合快照，非正式日结权益行</t>
        </is>
      </c>
      <c r="AL8" s="4" t="inlineStr"/>
      <c r="AM8" s="4" t="inlineStr"/>
      <c r="AN8" s="4" t="inlineStr"/>
      <c r="AO8" s="4" t="inlineStr">
        <is>
          <t>浮盈亏=-682.00；原组合快照迁出: cash=206480, stock_value=999318, daily_return_pct=-0.0682</t>
        </is>
      </c>
    </row>
    <row r="9">
      <c r="A9" s="4" t="inlineStr">
        <is>
          <t>2026-06-05</t>
        </is>
      </c>
      <c r="B9" s="4" t="inlineStr">
        <is>
          <t>2026-06-05 建仓决策</t>
        </is>
      </c>
      <c r="C9" s="4" t="inlineStr">
        <is>
          <t>盘中复查</t>
        </is>
      </c>
      <c r="D9" s="4" t="inlineStr">
        <is>
          <t>13:00</t>
        </is>
      </c>
      <c r="E9" s="4" t="inlineStr">
        <is>
          <t>000001</t>
        </is>
      </c>
      <c r="F9" s="4" t="inlineStr">
        <is>
          <t>平安银行</t>
        </is>
      </c>
      <c r="G9" s="4" t="inlineStr">
        <is>
          <t>做多</t>
        </is>
      </c>
      <c r="H9" s="4" t="inlineStr">
        <is>
          <t>买入</t>
        </is>
      </c>
      <c r="I9" s="4" t="inlineStr">
        <is>
          <t>36200</t>
        </is>
      </c>
      <c r="J9" s="4" t="inlineStr">
        <is>
          <t>11.02</t>
        </is>
      </c>
      <c r="K9" s="4" t="inlineStr"/>
      <c r="L9" s="4" t="inlineStr">
        <is>
          <t>398924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>
        <is>
          <t>398924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39.8924</t>
        </is>
      </c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>
        <is>
          <t>仍为观察池中唯一尝试转强样本，执行预设主攻仓。</t>
        </is>
      </c>
      <c r="AL9" s="4" t="inlineStr"/>
      <c r="AM9" s="4" t="inlineStr">
        <is>
          <t>需补审</t>
        </is>
      </c>
      <c r="AN9" s="4" t="inlineStr">
        <is>
          <t>逾期未留证</t>
        </is>
      </c>
      <c r="AO9" s="4" t="inlineStr">
        <is>
          <t>状态规范化：原“待验证”，因已过复核时点且未留后验证据，改为“逾期未留证”；原后续验证=待13:15验证</t>
        </is>
      </c>
    </row>
    <row r="10">
      <c r="A10" s="4" t="inlineStr">
        <is>
          <t>2026-06-05</t>
        </is>
      </c>
      <c r="B10" s="4" t="inlineStr">
        <is>
          <t>2026-06-05 13:30复查</t>
        </is>
      </c>
      <c r="C10" s="4" t="inlineStr">
        <is>
          <t>盘中复查</t>
        </is>
      </c>
      <c r="D10" s="4" t="inlineStr">
        <is>
          <t>13:32</t>
        </is>
      </c>
      <c r="E10" s="4" t="inlineStr">
        <is>
          <t>000001</t>
        </is>
      </c>
      <c r="F10" s="4" t="inlineStr">
        <is>
          <t>平安银行</t>
        </is>
      </c>
      <c r="G10" s="4" t="inlineStr">
        <is>
          <t>做多</t>
        </is>
      </c>
      <c r="H10" s="4" t="inlineStr">
        <is>
          <t>持有，不加仓</t>
        </is>
      </c>
      <c r="I10" s="4" t="inlineStr">
        <is>
          <t>36200</t>
        </is>
      </c>
      <c r="J10" s="4" t="inlineStr">
        <is>
          <t>11</t>
        </is>
      </c>
      <c r="K10" s="4" t="inlineStr"/>
      <c r="L10" s="4" t="inlineStr">
        <is>
          <t>398200</t>
        </is>
      </c>
      <c r="M10" s="4" t="inlineStr"/>
      <c r="N10" s="4" t="inlineStr"/>
      <c r="O10" s="4" t="inlineStr"/>
      <c r="P10" s="4" t="inlineStr"/>
      <c r="Q10" s="4" t="inlineStr"/>
      <c r="R10" s="4" t="inlineStr">
        <is>
          <t>206480</t>
        </is>
      </c>
      <c r="S10" s="4" t="inlineStr">
        <is>
          <t>604680</t>
        </is>
      </c>
      <c r="T10" s="4" t="inlineStr">
        <is>
          <t>398200</t>
        </is>
      </c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39.82</t>
        </is>
      </c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>
        <is>
          <t>较13:00买入价回落，暂不触发止损，但不能加仓。</t>
        </is>
      </c>
      <c r="AL10" s="4" t="inlineStr"/>
      <c r="AM10" s="4" t="inlineStr">
        <is>
          <t>需补审</t>
        </is>
      </c>
      <c r="AN10" s="4" t="inlineStr">
        <is>
          <t>逾期未留证</t>
        </is>
      </c>
      <c r="AO10" s="4" t="inlineStr">
        <is>
          <t>补做13:30复查；原权益列迁出: daily_return_pct=-39.532；状态规范化：原“待验证”，因已过复核时点且未留后验证据，改为“逾期未留证”；原后续验证=待14:00验证</t>
        </is>
      </c>
    </row>
    <row r="11">
      <c r="A11" s="4" t="inlineStr">
        <is>
          <t>2026-06-05</t>
        </is>
      </c>
      <c r="B11" s="4" t="inlineStr">
        <is>
          <t>2026-06-05 建仓决策</t>
        </is>
      </c>
      <c r="C11" s="4" t="inlineStr">
        <is>
          <t>盘中复查</t>
        </is>
      </c>
      <c r="D11" s="4" t="inlineStr">
        <is>
          <t>13:00</t>
        </is>
      </c>
      <c r="E11" s="4" t="inlineStr">
        <is>
          <t>000858</t>
        </is>
      </c>
      <c r="F11" s="4" t="inlineStr">
        <is>
          <t>五粮液</t>
        </is>
      </c>
      <c r="G11" s="4" t="inlineStr">
        <is>
          <t>做多</t>
        </is>
      </c>
      <c r="H11" s="4" t="inlineStr">
        <is>
          <t>买入</t>
        </is>
      </c>
      <c r="I11" s="4" t="inlineStr">
        <is>
          <t>3000</t>
        </is>
      </c>
      <c r="J11" s="4" t="inlineStr">
        <is>
          <t>81.69</t>
        </is>
      </c>
      <c r="K11" s="4" t="inlineStr"/>
      <c r="L11" s="4" t="inlineStr">
        <is>
          <t>245070</t>
        </is>
      </c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>
        <is>
          <t>245070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24.507</t>
        </is>
      </c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>
        <is>
          <t>评分最高但仍弱势，按预设只给副攻反弹仓。</t>
        </is>
      </c>
      <c r="AL11" s="4" t="inlineStr"/>
      <c r="AM11" s="4" t="inlineStr">
        <is>
          <t>需补审</t>
        </is>
      </c>
      <c r="AN11" s="4" t="inlineStr">
        <is>
          <t>逾期未留证</t>
        </is>
      </c>
      <c r="AO11" s="4" t="inlineStr">
        <is>
          <t>状态规范化：原“待验证”，因已过复核时点且未留后验证据，改为“逾期未留证”；原后续验证=待13:15验证</t>
        </is>
      </c>
    </row>
    <row r="12">
      <c r="A12" s="4" t="inlineStr">
        <is>
          <t>2026-06-05</t>
        </is>
      </c>
      <c r="B12" s="4" t="inlineStr">
        <is>
          <t>2026-06-05 13:30复查</t>
        </is>
      </c>
      <c r="C12" s="4" t="inlineStr">
        <is>
          <t>盘中复查</t>
        </is>
      </c>
      <c r="D12" s="4" t="inlineStr">
        <is>
          <t>13:32</t>
        </is>
      </c>
      <c r="E12" s="4" t="inlineStr">
        <is>
          <t>000858</t>
        </is>
      </c>
      <c r="F12" s="4" t="inlineStr">
        <is>
          <t>五粮液</t>
        </is>
      </c>
      <c r="G12" s="4" t="inlineStr">
        <is>
          <t>做多</t>
        </is>
      </c>
      <c r="H12" s="4" t="inlineStr">
        <is>
          <t>持有，不加仓</t>
        </is>
      </c>
      <c r="I12" s="4" t="inlineStr">
        <is>
          <t>3000</t>
        </is>
      </c>
      <c r="J12" s="4" t="inlineStr">
        <is>
          <t>81.38</t>
        </is>
      </c>
      <c r="K12" s="4" t="inlineStr"/>
      <c r="L12" s="4" t="inlineStr">
        <is>
          <t>244140</t>
        </is>
      </c>
      <c r="M12" s="4" t="inlineStr"/>
      <c r="N12" s="4" t="inlineStr"/>
      <c r="O12" s="4" t="inlineStr"/>
      <c r="P12" s="4" t="inlineStr"/>
      <c r="Q12" s="4" t="inlineStr"/>
      <c r="R12" s="4" t="inlineStr">
        <is>
          <t>206480</t>
        </is>
      </c>
      <c r="S12" s="4" t="inlineStr">
        <is>
          <t>848820</t>
        </is>
      </c>
      <c r="T12" s="4" t="inlineStr">
        <is>
          <t>244140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24.414</t>
        </is>
      </c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>
        <is>
          <t>较13:00买入价回落，暂不触发止损，但不能加仓。</t>
        </is>
      </c>
      <c r="AL12" s="4" t="inlineStr"/>
      <c r="AM12" s="4" t="inlineStr">
        <is>
          <t>需补审</t>
        </is>
      </c>
      <c r="AN12" s="4" t="inlineStr">
        <is>
          <t>逾期未留证</t>
        </is>
      </c>
      <c r="AO12" s="4" t="inlineStr">
        <is>
          <t>补做13:30复查；原权益列迁出: daily_return_pct=-15.118；状态规范化：原“待验证”，因已过复核时点且未留后验证据，改为“逾期未留证”；原后续验证=待14:00验证</t>
        </is>
      </c>
    </row>
    <row r="13">
      <c r="A13" s="4" t="inlineStr">
        <is>
          <t>2026-06-05</t>
        </is>
      </c>
      <c r="B13" s="4" t="inlineStr">
        <is>
          <t>2026-06-05 建仓决策</t>
        </is>
      </c>
      <c r="C13" s="4" t="inlineStr">
        <is>
          <t>盘中复查</t>
        </is>
      </c>
      <c r="D13" s="4" t="inlineStr">
        <is>
          <t>13:00</t>
        </is>
      </c>
      <c r="E13" s="4" t="inlineStr">
        <is>
          <t>300750</t>
        </is>
      </c>
      <c r="F13" s="4" t="inlineStr">
        <is>
          <t>宁德时代</t>
        </is>
      </c>
      <c r="G13" s="4" t="inlineStr">
        <is>
          <t>不交易</t>
        </is>
      </c>
      <c r="H13" s="4" t="inlineStr">
        <is>
          <t>观察</t>
        </is>
      </c>
      <c r="I13" s="4" t="inlineStr">
        <is>
          <t>0</t>
        </is>
      </c>
      <c r="J13" s="4" t="inlineStr">
        <is>
          <t>408.22</t>
        </is>
      </c>
      <c r="K13" s="4" t="inlineStr"/>
      <c r="L13" s="4" t="inlineStr">
        <is>
          <t>0</t>
        </is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>
        <is>
          <t>0</t>
        </is>
      </c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0</t>
        </is>
      </c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>
        <is>
          <t>13:00仅持平，未显示明显转强，条件仓不触发。</t>
        </is>
      </c>
      <c r="AL13" s="4" t="inlineStr"/>
      <c r="AM13" s="4" t="inlineStr">
        <is>
          <t>需补审</t>
        </is>
      </c>
      <c r="AN13" s="4" t="inlineStr">
        <is>
          <t>逾期未留证</t>
        </is>
      </c>
      <c r="AO13" s="4" t="inlineStr">
        <is>
          <t>状态规范化：原“待验证”，因已过复核时点且未留后验证据，改为“逾期未留证”；原后续验证=待13:15验证</t>
        </is>
      </c>
    </row>
    <row r="14">
      <c r="A14" s="4" t="inlineStr">
        <is>
          <t>2026-06-05</t>
        </is>
      </c>
      <c r="B14" s="4" t="inlineStr">
        <is>
          <t>2026-06-05 13:30复查</t>
        </is>
      </c>
      <c r="C14" s="4" t="inlineStr">
        <is>
          <t>盘中复查</t>
        </is>
      </c>
      <c r="D14" s="4" t="inlineStr">
        <is>
          <t>13:32</t>
        </is>
      </c>
      <c r="E14" s="4" t="inlineStr">
        <is>
          <t>300750</t>
        </is>
      </c>
      <c r="F14" s="4" t="inlineStr">
        <is>
          <t>宁德时代</t>
        </is>
      </c>
      <c r="G14" s="4" t="inlineStr">
        <is>
          <t>不交易</t>
        </is>
      </c>
      <c r="H14" s="4" t="inlineStr">
        <is>
          <t>继续观察</t>
        </is>
      </c>
      <c r="I14" s="4" t="inlineStr">
        <is>
          <t>0</t>
        </is>
      </c>
      <c r="J14" s="4" t="inlineStr">
        <is>
          <t>407.67</t>
        </is>
      </c>
      <c r="K14" s="4" t="inlineStr"/>
      <c r="L14" s="4" t="inlineStr">
        <is>
          <t>0</t>
        </is>
      </c>
      <c r="M14" s="4" t="inlineStr"/>
      <c r="N14" s="4" t="inlineStr"/>
      <c r="O14" s="4" t="inlineStr"/>
      <c r="P14" s="4" t="inlineStr"/>
      <c r="Q14" s="4" t="inlineStr"/>
      <c r="R14" s="4" t="inlineStr">
        <is>
          <t>206480</t>
        </is>
      </c>
      <c r="S14" s="4" t="inlineStr">
        <is>
          <t>999318</t>
        </is>
      </c>
      <c r="T14" s="4" t="inlineStr">
        <is>
          <t>0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0</t>
        </is>
      </c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>
        <is>
          <t>条件仓仍未触发。</t>
        </is>
      </c>
      <c r="AL14" s="4" t="inlineStr"/>
      <c r="AM14" s="4" t="inlineStr">
        <is>
          <t>需补审</t>
        </is>
      </c>
      <c r="AN14" s="4" t="inlineStr">
        <is>
          <t>逾期未留证</t>
        </is>
      </c>
      <c r="AO14" s="4" t="inlineStr">
        <is>
          <t>补做13:30复查；原权益列迁出: daily_return_pct=-0.0682；状态规范化：原“待验证”，因已过复核时点且未留后验证据，改为“逾期未留证”；原后续验证=待14:00验证</t>
        </is>
      </c>
    </row>
    <row r="15">
      <c r="A15" s="4" t="inlineStr">
        <is>
          <t>2026-06-05</t>
        </is>
      </c>
      <c r="B15" s="4" t="inlineStr">
        <is>
          <t>2026-06-05 建仓决策</t>
        </is>
      </c>
      <c r="C15" s="4" t="inlineStr">
        <is>
          <t>盘中复查</t>
        </is>
      </c>
      <c r="D15" s="4" t="inlineStr">
        <is>
          <t>13:00</t>
        </is>
      </c>
      <c r="E15" s="4" t="inlineStr">
        <is>
          <t>600000</t>
        </is>
      </c>
      <c r="F15" s="4" t="inlineStr">
        <is>
          <t>浦发银行</t>
        </is>
      </c>
      <c r="G15" s="4" t="inlineStr">
        <is>
          <t>做多</t>
        </is>
      </c>
      <c r="H15" s="4" t="inlineStr">
        <is>
          <t>买入</t>
        </is>
      </c>
      <c r="I15" s="4" t="inlineStr">
        <is>
          <t>16200</t>
        </is>
      </c>
      <c r="J15" s="4" t="inlineStr">
        <is>
          <t>9.23</t>
        </is>
      </c>
      <c r="K15" s="4" t="inlineStr"/>
      <c r="L15" s="4" t="inlineStr">
        <is>
          <t>149526</t>
        </is>
      </c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>
        <is>
          <t>149526</t>
        </is>
      </c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14.9526</t>
        </is>
      </c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>
        <is>
          <t>低波动稳定仓，按预设小仓验证。</t>
        </is>
      </c>
      <c r="AL15" s="4" t="inlineStr"/>
      <c r="AM15" s="4" t="inlineStr">
        <is>
          <t>需补审</t>
        </is>
      </c>
      <c r="AN15" s="4" t="inlineStr">
        <is>
          <t>逾期未留证</t>
        </is>
      </c>
      <c r="AO15" s="4" t="inlineStr">
        <is>
          <t>状态规范化：原“待验证”，因已过复核时点且未留后验证据，改为“逾期未留证”；原后续验证=待13:15验证</t>
        </is>
      </c>
    </row>
    <row r="16">
      <c r="A16" s="4" t="inlineStr">
        <is>
          <t>2026-06-05</t>
        </is>
      </c>
      <c r="B16" s="4" t="inlineStr">
        <is>
          <t>2026-06-05 13:30复查</t>
        </is>
      </c>
      <c r="C16" s="4" t="inlineStr">
        <is>
          <t>盘中复查</t>
        </is>
      </c>
      <c r="D16" s="4" t="inlineStr">
        <is>
          <t>13:32</t>
        </is>
      </c>
      <c r="E16" s="4" t="inlineStr">
        <is>
          <t>600000</t>
        </is>
      </c>
      <c r="F16" s="4" t="inlineStr">
        <is>
          <t>浦发银行</t>
        </is>
      </c>
      <c r="G16" s="4" t="inlineStr">
        <is>
          <t>做多</t>
        </is>
      </c>
      <c r="H16" s="4" t="inlineStr">
        <is>
          <t>持有，不加仓</t>
        </is>
      </c>
      <c r="I16" s="4" t="inlineStr">
        <is>
          <t>16200</t>
        </is>
      </c>
      <c r="J16" s="4" t="inlineStr">
        <is>
          <t>9.29</t>
        </is>
      </c>
      <c r="K16" s="4" t="inlineStr"/>
      <c r="L16" s="4" t="inlineStr">
        <is>
          <t>150498</t>
        </is>
      </c>
      <c r="M16" s="4" t="inlineStr"/>
      <c r="N16" s="4" t="inlineStr"/>
      <c r="O16" s="4" t="inlineStr"/>
      <c r="P16" s="4" t="inlineStr"/>
      <c r="Q16" s="4" t="inlineStr"/>
      <c r="R16" s="4" t="inlineStr">
        <is>
          <t>206480</t>
        </is>
      </c>
      <c r="S16" s="4" t="inlineStr">
        <is>
          <t>999318</t>
        </is>
      </c>
      <c r="T16" s="4" t="inlineStr">
        <is>
          <t>150498</t>
        </is>
      </c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15.0498</t>
        </is>
      </c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>
        <is>
          <t>持仓中最强，但分数仍49.5且只是弱势反弹，现金不追。</t>
        </is>
      </c>
      <c r="AL16" s="4" t="inlineStr"/>
      <c r="AM16" s="4" t="inlineStr">
        <is>
          <t>需补审</t>
        </is>
      </c>
      <c r="AN16" s="4" t="inlineStr">
        <is>
          <t>逾期未留证</t>
        </is>
      </c>
      <c r="AO16" s="4" t="inlineStr">
        <is>
          <t>补做13:30复查；原权益列迁出: daily_return_pct=-0.0682；状态规范化：原“待验证”，因已过复核时点且未留后验证据，改为“逾期未留证”；原后续验证=待14:00验证</t>
        </is>
      </c>
    </row>
    <row r="17">
      <c r="A17" s="5" t="inlineStr">
        <is>
          <t>2026-06-08</t>
        </is>
      </c>
      <c r="B17" s="5" t="inlineStr">
        <is>
          <t>2026-06-08 持仓</t>
        </is>
      </c>
      <c r="C17" s="5" t="inlineStr">
        <is>
          <t>持仓</t>
        </is>
      </c>
      <c r="D17" s="5" t="inlineStr"/>
      <c r="E17" s="5" t="inlineStr">
        <is>
          <t>600519</t>
        </is>
      </c>
      <c r="F17" s="5" t="inlineStr">
        <is>
          <t>贵州茅台</t>
        </is>
      </c>
      <c r="G17" s="5" t="inlineStr">
        <is>
          <t>持有</t>
        </is>
      </c>
      <c r="H17" s="5" t="inlineStr"/>
      <c r="I17" s="5" t="inlineStr">
        <is>
          <t>100</t>
        </is>
      </c>
      <c r="J17" s="5" t="inlineStr">
        <is>
          <t>1262.98</t>
        </is>
      </c>
      <c r="K17" s="5" t="inlineStr">
        <is>
          <t>1501.4004</t>
        </is>
      </c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>
        <is>
          <t>126298.0</t>
        </is>
      </c>
      <c r="U17" s="5" t="inlineStr"/>
      <c r="V17" s="5" t="inlineStr"/>
      <c r="W17" s="5" t="inlineStr"/>
      <c r="X17" s="5" t="inlineStr"/>
      <c r="Y17" s="5" t="inlineStr"/>
      <c r="Z17" s="5" t="inlineStr">
        <is>
          <t>-23842.04</t>
        </is>
      </c>
      <c r="AA17" s="5" t="inlineStr">
        <is>
          <t>-15.8799</t>
        </is>
      </c>
      <c r="AB17" s="5" t="inlineStr"/>
      <c r="AC17" s="5" t="inlineStr">
        <is>
          <t>12.9383</t>
        </is>
      </c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>
        <is>
          <t>持仓中</t>
        </is>
      </c>
      <c r="AO17" s="5" t="inlineStr">
        <is>
          <t>正式模拟盘保留持仓；回测卖出未获用户确认，不作为正式模拟盘成交</t>
        </is>
      </c>
    </row>
    <row r="18">
      <c r="A18" s="4" t="inlineStr">
        <is>
          <t>2026-06-09</t>
        </is>
      </c>
      <c r="B18" s="4" t="inlineStr">
        <is>
          <t>2026-06-09 收盘结算</t>
        </is>
      </c>
      <c r="C18" s="4" t="inlineStr">
        <is>
          <t>盘中复查</t>
        </is>
      </c>
      <c r="D18" s="4" t="inlineStr"/>
      <c r="E18" s="4" t="inlineStr">
        <is>
          <t>600519</t>
        </is>
      </c>
      <c r="F18" s="4" t="inlineStr">
        <is>
          <t>贵州茅台</t>
        </is>
      </c>
      <c r="G18" s="4" t="inlineStr">
        <is>
          <t>多头连续持仓</t>
        </is>
      </c>
      <c r="H18" s="4" t="inlineStr">
        <is>
          <t>持有/估值</t>
        </is>
      </c>
      <c r="I18" s="4" t="inlineStr">
        <is>
          <t>100</t>
        </is>
      </c>
      <c r="J18" s="4" t="inlineStr">
        <is>
          <t>1256</t>
        </is>
      </c>
      <c r="K18" s="4" t="inlineStr"/>
      <c r="L18" s="4" t="inlineStr">
        <is>
          <t>125600</t>
        </is>
      </c>
      <c r="M18" s="4" t="inlineStr"/>
      <c r="N18" s="4" t="inlineStr"/>
      <c r="O18" s="4" t="inlineStr"/>
      <c r="P18" s="4" t="inlineStr"/>
      <c r="Q18" s="4" t="inlineStr"/>
      <c r="R18" s="4" t="inlineStr">
        <is>
          <t>849859.96</t>
        </is>
      </c>
      <c r="S18" s="4" t="inlineStr">
        <is>
          <t>125600</t>
        </is>
      </c>
      <c r="T18" s="4" t="inlineStr">
        <is>
          <t>125600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12.876</t>
        </is>
      </c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>
        <is>
          <t>未触发用户确认卖出；只做训练/研究估值</t>
        </is>
      </c>
      <c r="AL18" s="4" t="inlineStr"/>
      <c r="AM18" s="4" t="inlineStr">
        <is>
          <t>需补审</t>
        </is>
      </c>
      <c r="AN18" s="4" t="inlineStr">
        <is>
          <t>逾期未留证</t>
        </is>
      </c>
      <c r="AO18" s="4" t="inlineStr">
        <is>
          <t>今日浮动盈亏-698.00；累计未实现盈亏-24540.04；账户权益975459.96。；原权益列迁出: daily_return_pct=-2.454；状态规范化：原“待验证”，因已过复核时点且未留后验证据，改为“逾期未留证”；原后续验证=次日继续复核触发、无效、止损纪律</t>
        </is>
      </c>
    </row>
    <row r="19">
      <c r="A19" s="6" t="inlineStr">
        <is>
          <t>2026-06-20</t>
        </is>
      </c>
      <c r="B19" s="6" t="inlineStr">
        <is>
          <t>2026-06-20 目标组合</t>
        </is>
      </c>
      <c r="C19" s="6" t="inlineStr">
        <is>
          <t>目标组合</t>
        </is>
      </c>
      <c r="D19" s="6" t="inlineStr"/>
      <c r="E19" s="6" t="inlineStr">
        <is>
          <t>000001</t>
        </is>
      </c>
      <c r="F19" s="6" t="inlineStr">
        <is>
          <t>平安银行</t>
        </is>
      </c>
      <c r="G19" s="6" t="inlineStr">
        <is>
          <t>观察</t>
        </is>
      </c>
      <c r="H19" s="6" t="inlineStr">
        <is>
          <t>候选目标仓位</t>
        </is>
      </c>
      <c r="I19" s="6" t="inlineStr">
        <is>
          <t>0</t>
        </is>
      </c>
      <c r="J19" s="6" t="inlineStr">
        <is>
          <t>11.00</t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>
        <is>
          <t>39046.32</t>
        </is>
      </c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>
        <is>
          <t>4.0</t>
        </is>
      </c>
      <c r="AD19" s="6" t="inlineStr"/>
      <c r="AE19" s="6" t="inlineStr">
        <is>
          <t>STOP</t>
        </is>
      </c>
      <c r="AF19" s="6" t="inlineStr">
        <is>
          <t>defensive-training-portfolio-v1</t>
        </is>
      </c>
      <c r="AG19" s="6" t="inlineStr">
        <is>
          <t>defensive-training-portfolio-v1</t>
        </is>
      </c>
      <c r="AH19" s="6" t="inlineStr"/>
      <c r="AI19" s="6" t="inlineStr"/>
      <c r="AJ19" s="6" t="inlineStr">
        <is>
          <t>watch</t>
        </is>
      </c>
      <c r="AK19" s="6" t="inlineStr">
        <is>
          <t>旧表主攻样本但13:30回落，降为小目标观察仓；只有转强且不跌回触发价才可执行。</t>
        </is>
      </c>
      <c r="AL19" s="6" t="inlineStr"/>
      <c r="AM19" s="6" t="inlineStr"/>
      <c r="AN19" s="6" t="inlineStr"/>
      <c r="AO19" s="6" t="inlineStr">
        <is>
          <t>目标仓位4%，不是当前成交。；原权益列迁出: end_equity=976157.96</t>
        </is>
      </c>
    </row>
    <row r="20">
      <c r="A20" s="6" t="inlineStr">
        <is>
          <t>2026-06-20</t>
        </is>
      </c>
      <c r="B20" s="6" t="inlineStr">
        <is>
          <t>2026-06-20 目标组合</t>
        </is>
      </c>
      <c r="C20" s="6" t="inlineStr">
        <is>
          <t>目标组合</t>
        </is>
      </c>
      <c r="D20" s="6" t="inlineStr"/>
      <c r="E20" s="6" t="inlineStr">
        <is>
          <t>000858</t>
        </is>
      </c>
      <c r="F20" s="6" t="inlineStr">
        <is>
          <t>五粮液</t>
        </is>
      </c>
      <c r="G20" s="6" t="inlineStr">
        <is>
          <t>观察</t>
        </is>
      </c>
      <c r="H20" s="6" t="inlineStr">
        <is>
          <t>候选目标仓位</t>
        </is>
      </c>
      <c r="I20" s="6" t="inlineStr">
        <is>
          <t>0</t>
        </is>
      </c>
      <c r="J20" s="6" t="inlineStr">
        <is>
          <t>81.38</t>
        </is>
      </c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>
        <is>
          <t>39046.32</t>
        </is>
      </c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>
        <is>
          <t>4.0</t>
        </is>
      </c>
      <c r="AD20" s="6" t="inlineStr"/>
      <c r="AE20" s="6" t="inlineStr">
        <is>
          <t>STOP</t>
        </is>
      </c>
      <c r="AF20" s="6" t="inlineStr">
        <is>
          <t>defensive-training-portfolio-v1</t>
        </is>
      </c>
      <c r="AG20" s="6" t="inlineStr">
        <is>
          <t>defensive-training-portfolio-v1</t>
        </is>
      </c>
      <c r="AH20" s="6" t="inlineStr"/>
      <c r="AI20" s="6" t="inlineStr"/>
      <c r="AJ20" s="6" t="inlineStr">
        <is>
          <t>watch</t>
        </is>
      </c>
      <c r="AK20" s="6" t="inlineStr">
        <is>
          <t>旧表副攻样本且复查回落，目标仓位下调；只在反弹承接重新确认后执行。</t>
        </is>
      </c>
      <c r="AL20" s="6" t="inlineStr"/>
      <c r="AM20" s="6" t="inlineStr"/>
      <c r="AN20" s="6" t="inlineStr"/>
      <c r="AO20" s="6" t="inlineStr">
        <is>
          <t>目标仓位4%，不是当前成交。；原权益列迁出: end_equity=976157.96</t>
        </is>
      </c>
    </row>
    <row r="21">
      <c r="A21" s="6" t="inlineStr">
        <is>
          <t>2026-06-20</t>
        </is>
      </c>
      <c r="B21" s="6" t="inlineStr">
        <is>
          <t>2026-06-20 目标组合</t>
        </is>
      </c>
      <c r="C21" s="6" t="inlineStr">
        <is>
          <t>目标组合</t>
        </is>
      </c>
      <c r="D21" s="6" t="inlineStr"/>
      <c r="E21" s="6" t="inlineStr">
        <is>
          <t>300750</t>
        </is>
      </c>
      <c r="F21" s="6" t="inlineStr">
        <is>
          <t>宁德时代</t>
        </is>
      </c>
      <c r="G21" s="6" t="inlineStr">
        <is>
          <t>观察</t>
        </is>
      </c>
      <c r="H21" s="6" t="inlineStr">
        <is>
          <t>条件仓候选</t>
        </is>
      </c>
      <c r="I21" s="6" t="inlineStr">
        <is>
          <t>0</t>
        </is>
      </c>
      <c r="J21" s="6" t="inlineStr">
        <is>
          <t>407.67</t>
        </is>
      </c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>
        <is>
          <t>29284.74</t>
        </is>
      </c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>
        <is>
          <t>3.0</t>
        </is>
      </c>
      <c r="AD21" s="6" t="inlineStr"/>
      <c r="AE21" s="6" t="inlineStr">
        <is>
          <t>STOP</t>
        </is>
      </c>
      <c r="AF21" s="6" t="inlineStr">
        <is>
          <t>defensive-training-portfolio-v1</t>
        </is>
      </c>
      <c r="AG21" s="6" t="inlineStr">
        <is>
          <t>defensive-training-portfolio-v1</t>
        </is>
      </c>
      <c r="AH21" s="6" t="inlineStr"/>
      <c r="AI21" s="6" t="inlineStr"/>
      <c r="AJ21" s="6" t="inlineStr">
        <is>
          <t>watch</t>
        </is>
      </c>
      <c r="AK21" s="6" t="inlineStr">
        <is>
          <t>旧表条件仓未触发，保留小目标权重；需翻红、放量、强于池子才允许执行。</t>
        </is>
      </c>
      <c r="AL21" s="6" t="inlineStr"/>
      <c r="AM21" s="6" t="inlineStr"/>
      <c r="AN21" s="6" t="inlineStr"/>
      <c r="AO21" s="6" t="inlineStr">
        <is>
          <t>目标仓位3%，不是当前成交。；原权益列迁出: end_equity=976157.96</t>
        </is>
      </c>
    </row>
    <row r="22">
      <c r="A22" s="6" t="inlineStr">
        <is>
          <t>2026-06-20</t>
        </is>
      </c>
      <c r="B22" s="6" t="inlineStr">
        <is>
          <t>2026-06-20 目标组合</t>
        </is>
      </c>
      <c r="C22" s="6" t="inlineStr">
        <is>
          <t>目标组合</t>
        </is>
      </c>
      <c r="D22" s="6" t="inlineStr"/>
      <c r="E22" s="6" t="inlineStr">
        <is>
          <t>600000</t>
        </is>
      </c>
      <c r="F22" s="6" t="inlineStr">
        <is>
          <t>浦发银行</t>
        </is>
      </c>
      <c r="G22" s="6" t="inlineStr">
        <is>
          <t>观察</t>
        </is>
      </c>
      <c r="H22" s="6" t="inlineStr">
        <is>
          <t>候选目标仓位</t>
        </is>
      </c>
      <c r="I22" s="6" t="inlineStr">
        <is>
          <t>0</t>
        </is>
      </c>
      <c r="J22" s="6" t="inlineStr">
        <is>
          <t>9.29</t>
        </is>
      </c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>
        <is>
          <t>58569.48</t>
        </is>
      </c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>
        <is>
          <t>6.0</t>
        </is>
      </c>
      <c r="AD22" s="6" t="inlineStr"/>
      <c r="AE22" s="6" t="inlineStr">
        <is>
          <t>STOP</t>
        </is>
      </c>
      <c r="AF22" s="6" t="inlineStr">
        <is>
          <t>defensive-training-portfolio-v1</t>
        </is>
      </c>
      <c r="AG22" s="6" t="inlineStr">
        <is>
          <t>defensive-training-portfolio-v1</t>
        </is>
      </c>
      <c r="AH22" s="6" t="inlineStr"/>
      <c r="AI22" s="6" t="inlineStr"/>
      <c r="AJ22" s="6" t="inlineStr">
        <is>
          <t>watch</t>
        </is>
      </c>
      <c r="AK22" s="6" t="inlineStr">
        <is>
          <t>旧表中13:30复查相对最强，但账户STOP下只能作为低波动候选；重新通过缓存/策略门禁后才允许执行。</t>
        </is>
      </c>
      <c r="AL22" s="6" t="inlineStr"/>
      <c r="AM22" s="6" t="inlineStr"/>
      <c r="AN22" s="6" t="inlineStr"/>
      <c r="AO22" s="6" t="inlineStr">
        <is>
          <t>目标仓位6%，不是当前成交。；原权益列迁出: end_equity=976157.96</t>
        </is>
      </c>
    </row>
    <row r="23">
      <c r="A23" s="6" t="inlineStr">
        <is>
          <t>2026-06-20</t>
        </is>
      </c>
      <c r="B23" s="6" t="inlineStr">
        <is>
          <t>2026-06-20 目标组合</t>
        </is>
      </c>
      <c r="C23" s="6" t="inlineStr">
        <is>
          <t>目标组合</t>
        </is>
      </c>
      <c r="D23" s="6" t="inlineStr"/>
      <c r="E23" s="6" t="inlineStr">
        <is>
          <t>600519</t>
        </is>
      </c>
      <c r="F23" s="6" t="inlineStr">
        <is>
          <t>贵州茅台</t>
        </is>
      </c>
      <c r="G23" s="6" t="inlineStr">
        <is>
          <t>持有</t>
        </is>
      </c>
      <c r="H23" s="6" t="inlineStr">
        <is>
          <t>保留现有持仓，不加仓</t>
        </is>
      </c>
      <c r="I23" s="6" t="inlineStr">
        <is>
          <t>100</t>
        </is>
      </c>
      <c r="J23" s="6" t="inlineStr">
        <is>
          <t>1262.98</t>
        </is>
      </c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>
        <is>
          <t>126298.00</t>
        </is>
      </c>
      <c r="U23" s="6" t="inlineStr"/>
      <c r="V23" s="6" t="inlineStr"/>
      <c r="W23" s="6" t="inlineStr"/>
      <c r="X23" s="6" t="inlineStr"/>
      <c r="Y23" s="6" t="inlineStr"/>
      <c r="Z23" s="6" t="inlineStr">
        <is>
          <t>-23842.04</t>
        </is>
      </c>
      <c r="AA23" s="6" t="inlineStr">
        <is>
          <t>-15.8799</t>
        </is>
      </c>
      <c r="AB23" s="6" t="inlineStr"/>
      <c r="AC23" s="6" t="inlineStr">
        <is>
          <t>12.94</t>
        </is>
      </c>
      <c r="AD23" s="6" t="inlineStr"/>
      <c r="AE23" s="6" t="inlineStr">
        <is>
          <t>STOP</t>
        </is>
      </c>
      <c r="AF23" s="6" t="inlineStr">
        <is>
          <t>defensive-training-portfolio-v1</t>
        </is>
      </c>
      <c r="AG23" s="6" t="inlineStr">
        <is>
          <t>defensive-training-portfolio-v1</t>
        </is>
      </c>
      <c r="AH23" s="6" t="inlineStr"/>
      <c r="AI23" s="6" t="inlineStr"/>
      <c r="AJ23" s="6" t="inlineStr">
        <is>
          <t>active</t>
        </is>
      </c>
      <c r="AK23" s="6" t="inlineStr">
        <is>
          <t>连续持仓事实保留；未触发用户确认卖出，不做日结清仓；不新增仓位。</t>
        </is>
      </c>
      <c r="AL23" s="6" t="inlineStr"/>
      <c r="AM23" s="6" t="inlineStr"/>
      <c r="AN23" s="6" t="inlineStr"/>
      <c r="AO23" s="6" t="inlineStr">
        <is>
          <t>当前事实持仓，纳入目标组合但不加仓。；原权益列迁出: end_equity=976157.96</t>
        </is>
      </c>
    </row>
    <row r="24">
      <c r="A24" s="6" t="inlineStr">
        <is>
          <t>2026-06-20</t>
        </is>
      </c>
      <c r="B24" s="6" t="inlineStr">
        <is>
          <t>2026-06-20 目标组合</t>
        </is>
      </c>
      <c r="C24" s="6" t="inlineStr">
        <is>
          <t>目标组合</t>
        </is>
      </c>
      <c r="D24" s="6" t="inlineStr"/>
      <c r="E24" s="6" t="inlineStr">
        <is>
          <t>CASH</t>
        </is>
      </c>
      <c r="F24" s="6" t="inlineStr">
        <is>
          <t>现金</t>
        </is>
      </c>
      <c r="G24" s="6" t="inlineStr">
        <is>
          <t>现金</t>
        </is>
      </c>
      <c r="H24" s="6" t="inlineStr">
        <is>
          <t>保留现金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>
        <is>
          <t>683310.57</t>
        </is>
      </c>
      <c r="S24" s="6" t="inlineStr"/>
      <c r="T24" s="6" t="inlineStr">
        <is>
          <t>683310.57</t>
        </is>
      </c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>
        <is>
          <t>70.0</t>
        </is>
      </c>
      <c r="AD24" s="6" t="inlineStr"/>
      <c r="AE24" s="6" t="inlineStr">
        <is>
          <t>STOP</t>
        </is>
      </c>
      <c r="AF24" s="6" t="inlineStr">
        <is>
          <t>defensive-training-portfolio-v1</t>
        </is>
      </c>
      <c r="AG24" s="6" t="inlineStr">
        <is>
          <t>defensive-training-portfolio-v1</t>
        </is>
      </c>
      <c r="AH24" s="6" t="inlineStr"/>
      <c r="AI24" s="6" t="inlineStr"/>
      <c r="AJ24" s="6" t="inlineStr">
        <is>
          <t>active</t>
        </is>
      </c>
      <c r="AK24" s="6" t="inlineStr">
        <is>
          <t>账户风险状态为STOP，目标组合先以现金为主，等待策略重新通过验证。</t>
        </is>
      </c>
      <c r="AL24" s="6" t="inlineStr"/>
      <c r="AM24" s="6" t="inlineStr"/>
      <c r="AN24" s="6" t="inlineStr"/>
      <c r="AO24" s="6" t="inlineStr">
        <is>
          <t>目标组合，不是成交；后续每日在本表更新。；原权益列迁出: end_equity=976157.96</t>
        </is>
      </c>
    </row>
    <row r="25">
      <c r="A25" s="7" t="inlineStr">
        <is>
          <t>2026-06-23</t>
        </is>
      </c>
      <c r="B25" s="7" t="inlineStr">
        <is>
          <t>2026-06-23 交易</t>
        </is>
      </c>
      <c r="C25" s="7" t="inlineStr">
        <is>
          <t>成交</t>
        </is>
      </c>
      <c r="D25" s="7" t="inlineStr">
        <is>
          <t>13:04</t>
        </is>
      </c>
      <c r="E25" s="7" t="inlineStr">
        <is>
          <t>002230</t>
        </is>
      </c>
      <c r="F25" s="7" t="inlineStr">
        <is>
          <t>科大讯飞</t>
        </is>
      </c>
      <c r="G25" s="7" t="inlineStr">
        <is>
          <t>买入</t>
        </is>
      </c>
      <c r="H25" s="7" t="inlineStr">
        <is>
          <t>买入</t>
        </is>
      </c>
      <c r="I25" s="7" t="inlineStr">
        <is>
          <t>300</t>
        </is>
      </c>
      <c r="J25" s="7" t="inlineStr">
        <is>
          <t>42.7013</t>
        </is>
      </c>
      <c r="K25" s="7" t="inlineStr"/>
      <c r="L25" s="7" t="inlineStr">
        <is>
          <t>12810.4</t>
        </is>
      </c>
      <c r="M25" s="7" t="inlineStr">
        <is>
          <t>5.0</t>
        </is>
      </c>
      <c r="N25" s="7" t="inlineStr">
        <is>
          <t>0.0</t>
        </is>
      </c>
      <c r="O25" s="7" t="inlineStr">
        <is>
          <t>0.13</t>
        </is>
      </c>
      <c r="P25" s="7" t="inlineStr">
        <is>
          <t>5.13</t>
        </is>
      </c>
      <c r="Q25" s="7" t="inlineStr">
        <is>
          <t>-12815.53</t>
        </is>
      </c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>
        <is>
          <t>diversified-paper-6-ai-v1</t>
        </is>
      </c>
      <c r="AG25" s="7" t="inlineStr">
        <is>
          <t>diversified-paper-6-ai-v1</t>
        </is>
      </c>
      <c r="AH25" s="7" t="inlineStr"/>
      <c r="AI25" s="7" t="inlineStr"/>
      <c r="AJ25" s="7" t="inlineStr"/>
      <c r="AK25" s="7" t="inlineStr">
        <is>
          <t>按用户要求新增AI科技股；系统风控提示高风险观察，因此仅小仓纸面训练买入</t>
        </is>
      </c>
      <c r="AL25" s="7" t="inlineStr"/>
      <c r="AM25" s="7" t="inlineStr"/>
      <c r="AN25" s="7" t="inlineStr">
        <is>
          <t>已成交</t>
        </is>
      </c>
      <c r="AO25" s="7" t="inlineStr">
        <is>
          <t>训练/研究纸面买入，不构成投资建议；若跌破42.50或无法收回MA20则优先止损/降仓复核；时间更正：原记录 12:49 为午间决策/记录时间，非A股连续竞价成交时间；纸面成交按午后可交易时段 13:04 记录。</t>
        </is>
      </c>
    </row>
    <row r="26">
      <c r="A26" s="7" t="inlineStr">
        <is>
          <t>2026-06-23</t>
        </is>
      </c>
      <c r="B26" s="7" t="inlineStr">
        <is>
          <t>2026-06-23 交易</t>
        </is>
      </c>
      <c r="C26" s="7" t="inlineStr">
        <is>
          <t>成交</t>
        </is>
      </c>
      <c r="D26" s="7" t="inlineStr">
        <is>
          <t>13:00</t>
        </is>
      </c>
      <c r="E26" s="7" t="inlineStr">
        <is>
          <t>300750</t>
        </is>
      </c>
      <c r="F26" s="7" t="inlineStr">
        <is>
          <t>宁德时代</t>
        </is>
      </c>
      <c r="G26" s="7" t="inlineStr">
        <is>
          <t>买入</t>
        </is>
      </c>
      <c r="H26" s="7" t="inlineStr">
        <is>
          <t>买入</t>
        </is>
      </c>
      <c r="I26" s="7" t="inlineStr">
        <is>
          <t>100</t>
        </is>
      </c>
      <c r="J26" s="7" t="inlineStr">
        <is>
          <t>401.7908</t>
        </is>
      </c>
      <c r="K26" s="7" t="inlineStr"/>
      <c r="L26" s="7" t="inlineStr">
        <is>
          <t>40179.08</t>
        </is>
      </c>
      <c r="M26" s="7" t="inlineStr">
        <is>
          <t>12.05</t>
        </is>
      </c>
      <c r="N26" s="7" t="inlineStr">
        <is>
          <t>0.0</t>
        </is>
      </c>
      <c r="O26" s="7" t="inlineStr">
        <is>
          <t>0.4</t>
        </is>
      </c>
      <c r="P26" s="7" t="inlineStr">
        <is>
          <t>12.46</t>
        </is>
      </c>
      <c r="Q26" s="7" t="inlineStr">
        <is>
          <t>-40191.54</t>
        </is>
      </c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>
        <is>
          <t>diversified-paper-5-v1</t>
        </is>
      </c>
      <c r="AG26" s="7" t="inlineStr">
        <is>
          <t>diversified-paper-5-v1</t>
        </is>
      </c>
      <c r="AH26" s="7" t="inlineStr"/>
      <c r="AI26" s="7" t="inlineStr"/>
      <c r="AJ26" s="7" t="inlineStr"/>
      <c r="AK26" s="7" t="inlineStr">
        <is>
          <t>补足至少5只纸面持仓：新能源类别，小仓训练；系统评分偏弱，仅做分散组合训练</t>
        </is>
      </c>
      <c r="AL26" s="7" t="inlineStr"/>
      <c r="AM26" s="7" t="inlineStr"/>
      <c r="AN26" s="7" t="inlineStr">
        <is>
          <t>已成交</t>
        </is>
      </c>
      <c r="AO26" s="7" t="inlineStr">
        <is>
          <t>训练/研究纸面买入，不构成投资建议；若跌破MA20且edge低于50%则复核止损；时间更正：原记录 12:45 为午间决策/记录时间，非A股连续竞价成交时间；纸面成交按午后可交易时段 13:00 记录。</t>
        </is>
      </c>
    </row>
    <row r="27">
      <c r="A27" s="7" t="inlineStr">
        <is>
          <t>2026-06-23</t>
        </is>
      </c>
      <c r="B27" s="7" t="inlineStr">
        <is>
          <t>2026-06-23 交易</t>
        </is>
      </c>
      <c r="C27" s="7" t="inlineStr">
        <is>
          <t>成交</t>
        </is>
      </c>
      <c r="D27" s="7" t="inlineStr">
        <is>
          <t>13:01</t>
        </is>
      </c>
      <c r="E27" s="7" t="inlineStr">
        <is>
          <t>600036</t>
        </is>
      </c>
      <c r="F27" s="7" t="inlineStr">
        <is>
          <t>招商银行</t>
        </is>
      </c>
      <c r="G27" s="7" t="inlineStr">
        <is>
          <t>买入</t>
        </is>
      </c>
      <c r="H27" s="7" t="inlineStr">
        <is>
          <t>买入</t>
        </is>
      </c>
      <c r="I27" s="7" t="inlineStr">
        <is>
          <t>1000</t>
        </is>
      </c>
      <c r="J27" s="7" t="inlineStr">
        <is>
          <t>37.7989</t>
        </is>
      </c>
      <c r="K27" s="7" t="inlineStr"/>
      <c r="L27" s="7" t="inlineStr">
        <is>
          <t>37798.89</t>
        </is>
      </c>
      <c r="M27" s="7" t="inlineStr">
        <is>
          <t>11.34</t>
        </is>
      </c>
      <c r="N27" s="7" t="inlineStr">
        <is>
          <t>0.0</t>
        </is>
      </c>
      <c r="O27" s="7" t="inlineStr">
        <is>
          <t>0.38</t>
        </is>
      </c>
      <c r="P27" s="7" t="inlineStr">
        <is>
          <t>11.72</t>
        </is>
      </c>
      <c r="Q27" s="7" t="inlineStr">
        <is>
          <t>-37810.61</t>
        </is>
      </c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>
        <is>
          <t>diversified-paper-5-v1</t>
        </is>
      </c>
      <c r="AG27" s="7" t="inlineStr">
        <is>
          <t>diversified-paper-5-v1</t>
        </is>
      </c>
      <c r="AH27" s="7" t="inlineStr"/>
      <c r="AI27" s="7" t="inlineStr"/>
      <c r="AJ27" s="7" t="inlineStr"/>
      <c r="AK27" s="7" t="inlineStr">
        <is>
          <t>补足至少5只纸面持仓：银行类别，低波动样本，小仓训练</t>
        </is>
      </c>
      <c r="AL27" s="7" t="inlineStr"/>
      <c r="AM27" s="7" t="inlineStr"/>
      <c r="AN27" s="7" t="inlineStr">
        <is>
          <t>已成交</t>
        </is>
      </c>
      <c r="AO27" s="7" t="inlineStr">
        <is>
          <t>训练/研究纸面买入，不构成投资建议；弱动能下不得加仓；时间更正：原记录 12:46 为午间决策/记录时间，非A股连续竞价成交时间；纸面成交按午后可交易时段 13:01 记录。</t>
        </is>
      </c>
    </row>
    <row r="28">
      <c r="A28" s="7" t="inlineStr">
        <is>
          <t>2026-06-23</t>
        </is>
      </c>
      <c r="B28" s="7" t="inlineStr">
        <is>
          <t>2026-06-23 交易</t>
        </is>
      </c>
      <c r="C28" s="7" t="inlineStr">
        <is>
          <t>成交</t>
        </is>
      </c>
      <c r="D28" s="7" t="inlineStr">
        <is>
          <t>13:03</t>
        </is>
      </c>
      <c r="E28" s="7" t="inlineStr">
        <is>
          <t>600941</t>
        </is>
      </c>
      <c r="F28" s="7" t="inlineStr">
        <is>
          <t>中国移动</t>
        </is>
      </c>
      <c r="G28" s="7" t="inlineStr">
        <is>
          <t>买入</t>
        </is>
      </c>
      <c r="H28" s="7" t="inlineStr">
        <is>
          <t>买入</t>
        </is>
      </c>
      <c r="I28" s="7" t="inlineStr">
        <is>
          <t>400</t>
        </is>
      </c>
      <c r="J28" s="7" t="inlineStr">
        <is>
          <t>90.9955</t>
        </is>
      </c>
      <c r="K28" s="7" t="inlineStr"/>
      <c r="L28" s="7" t="inlineStr">
        <is>
          <t>36398.19</t>
        </is>
      </c>
      <c r="M28" s="7" t="inlineStr">
        <is>
          <t>10.92</t>
        </is>
      </c>
      <c r="N28" s="7" t="inlineStr">
        <is>
          <t>0.0</t>
        </is>
      </c>
      <c r="O28" s="7" t="inlineStr">
        <is>
          <t>0.36</t>
        </is>
      </c>
      <c r="P28" s="7" t="inlineStr">
        <is>
          <t>11.28</t>
        </is>
      </c>
      <c r="Q28" s="7" t="inlineStr">
        <is>
          <t>-36409.47</t>
        </is>
      </c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>
        <is>
          <t>diversified-paper-5-v1</t>
        </is>
      </c>
      <c r="AG28" s="7" t="inlineStr">
        <is>
          <t>diversified-paper-5-v1</t>
        </is>
      </c>
      <c r="AH28" s="7" t="inlineStr"/>
      <c r="AI28" s="7" t="inlineStr"/>
      <c r="AJ28" s="7" t="inlineStr"/>
      <c r="AK28" s="7" t="inlineStr">
        <is>
          <t>补足至少5只纸面持仓：通信运营商类别，防守样本，小仓训练</t>
        </is>
      </c>
      <c r="AL28" s="7" t="inlineStr"/>
      <c r="AM28" s="7" t="inlineStr"/>
      <c r="AN28" s="7" t="inlineStr">
        <is>
          <t>已成交</t>
        </is>
      </c>
      <c r="AO28" s="7" t="inlineStr">
        <is>
          <t>训练/研究纸面买入，不构成投资建议；弱趋势反弹失败则退出观察；时间更正：原记录 12:48 为午间决策/记录时间，非A股连续竞价成交时间；纸面成交按午后可交易时段 13:03 记录。</t>
        </is>
      </c>
    </row>
    <row r="29">
      <c r="A29" s="7" t="inlineStr">
        <is>
          <t>2026-06-23</t>
        </is>
      </c>
      <c r="B29" s="7" t="inlineStr">
        <is>
          <t>2026-06-23 交易</t>
        </is>
      </c>
      <c r="C29" s="7" t="inlineStr">
        <is>
          <t>成交</t>
        </is>
      </c>
      <c r="D29" s="7" t="inlineStr">
        <is>
          <t>13:02</t>
        </is>
      </c>
      <c r="E29" s="7" t="inlineStr">
        <is>
          <t>688981</t>
        </is>
      </c>
      <c r="F29" s="7" t="inlineStr">
        <is>
          <t>中芯国际</t>
        </is>
      </c>
      <c r="G29" s="7" t="inlineStr">
        <is>
          <t>买入</t>
        </is>
      </c>
      <c r="H29" s="7" t="inlineStr">
        <is>
          <t>买入</t>
        </is>
      </c>
      <c r="I29" s="7" t="inlineStr">
        <is>
          <t>200</t>
        </is>
      </c>
      <c r="J29" s="7" t="inlineStr">
        <is>
          <t>144.092</t>
        </is>
      </c>
      <c r="K29" s="7" t="inlineStr"/>
      <c r="L29" s="7" t="inlineStr">
        <is>
          <t>28818.4</t>
        </is>
      </c>
      <c r="M29" s="7" t="inlineStr">
        <is>
          <t>8.65</t>
        </is>
      </c>
      <c r="N29" s="7" t="inlineStr">
        <is>
          <t>0.0</t>
        </is>
      </c>
      <c r="O29" s="7" t="inlineStr">
        <is>
          <t>0.29</t>
        </is>
      </c>
      <c r="P29" s="7" t="inlineStr">
        <is>
          <t>8.93</t>
        </is>
      </c>
      <c r="Q29" s="7" t="inlineStr">
        <is>
          <t>-28827.34</t>
        </is>
      </c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>
        <is>
          <t>diversified-paper-5-v1</t>
        </is>
      </c>
      <c r="AG29" s="7" t="inlineStr">
        <is>
          <t>diversified-paper-5-v1</t>
        </is>
      </c>
      <c r="AH29" s="7" t="inlineStr"/>
      <c r="AI29" s="7" t="inlineStr"/>
      <c r="AJ29" s="7" t="inlineStr"/>
      <c r="AK29" s="7" t="inlineStr">
        <is>
          <t>补足至少5只纸面持仓：半导体硬科技类别，复权一致性保守，小仓训练</t>
        </is>
      </c>
      <c r="AL29" s="7" t="inlineStr"/>
      <c r="AM29" s="7" t="inlineStr"/>
      <c r="AN29" s="7" t="inlineStr">
        <is>
          <t>已成交</t>
        </is>
      </c>
      <c r="AO29" s="7" t="inlineStr">
        <is>
          <t>训练/研究纸面买入，不构成投资建议；高波动和普通日线数据要求更严止损；时间更正：原记录 12:47 为午间决策/记录时间，非A股连续竞价成交时间；纸面成交按午后可交易时段 13:02 记录。</t>
        </is>
      </c>
    </row>
    <row r="30">
      <c r="A30" s="8" t="inlineStr">
        <is>
          <t>2026-06-23</t>
        </is>
      </c>
      <c r="B30" s="8" t="inlineStr">
        <is>
          <t>2026-06-23 组合汇总</t>
        </is>
      </c>
      <c r="C30" s="8" t="inlineStr">
        <is>
          <t>组合汇总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>
        <is>
          <t>693805.47</t>
        </is>
      </c>
      <c r="S30" s="8" t="inlineStr">
        <is>
          <t>281629.0</t>
        </is>
      </c>
      <c r="T30" s="8" t="inlineStr"/>
      <c r="U30" s="8" t="inlineStr">
        <is>
          <t>975434.47</t>
        </is>
      </c>
      <c r="V30" s="8" t="inlineStr">
        <is>
          <t>975434.47</t>
        </is>
      </c>
      <c r="W30" s="8" t="inlineStr">
        <is>
          <t>0.0</t>
        </is>
      </c>
      <c r="X30" s="8" t="inlineStr">
        <is>
          <t>0.0</t>
        </is>
      </c>
      <c r="Y30" s="8" t="inlineStr"/>
      <c r="Z30" s="8" t="inlineStr"/>
      <c r="AA30" s="8" t="inlineStr"/>
      <c r="AB30" s="8" t="inlineStr">
        <is>
          <t>28.8722</t>
        </is>
      </c>
      <c r="AC30" s="8" t="inlineStr"/>
      <c r="AD30" s="8" t="inlineStr">
        <is>
          <t>-2.4566</t>
        </is>
      </c>
      <c r="AE30" s="8" t="inlineStr">
        <is>
          <t>OK</t>
        </is>
      </c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>
        <is>
          <t>按用户要求在5类组合基础上新增AI科技股002230；已更正纸面成交时间到A股午后连续竞价时段；每日回测纳入后续自动化；训练/研究，不构成投资建议。</t>
        </is>
      </c>
    </row>
    <row r="31">
      <c r="A31" s="9" t="inlineStr">
        <is>
          <t>2026-06-23</t>
        </is>
      </c>
      <c r="B31" s="9" t="inlineStr">
        <is>
          <t>2026-06-23 每日回测</t>
        </is>
      </c>
      <c r="C31" s="9" t="inlineStr">
        <is>
          <t>回测</t>
        </is>
      </c>
      <c r="D31" s="9" t="inlineStr">
        <is>
          <t>12:50</t>
        </is>
      </c>
      <c r="E31" s="9" t="inlineStr">
        <is>
          <t>PORTFOLIO</t>
        </is>
      </c>
      <c r="F31" s="9" t="inlineStr">
        <is>
          <t>当前6股纸面组合</t>
        </is>
      </c>
      <c r="G31" s="9" t="inlineStr">
        <is>
          <t>研究</t>
        </is>
      </c>
      <c r="H31" s="9" t="inlineStr">
        <is>
          <t>每日组合回测</t>
        </is>
      </c>
      <c r="I31" s="9" t="inlineStr">
        <is>
          <t>6</t>
        </is>
      </c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>
        <is>
          <t>59.93</t>
        </is>
      </c>
      <c r="AC31" s="9" t="inlineStr"/>
      <c r="AD31" s="9" t="inlineStr">
        <is>
          <t>-10.8126</t>
        </is>
      </c>
      <c r="AE31" s="9" t="inlineStr">
        <is>
          <t>BACKTEST_DD_OVER_STOP</t>
        </is>
      </c>
      <c r="AF31" s="9" t="inlineStr">
        <is>
          <t>daily-portfolio-backtest-v1</t>
        </is>
      </c>
      <c r="AG31" s="9" t="inlineStr">
        <is>
          <t>daily-portfolio-backtest-v1</t>
        </is>
      </c>
      <c r="AH31" s="9" t="inlineStr">
        <is>
          <t>backtest.py default score</t>
        </is>
      </c>
      <c r="AI31" s="9" t="inlineStr">
        <is>
          <t>T+1 daily rebalance; prior-close signal; next-open execution; costs/slippage included</t>
        </is>
      </c>
      <c r="AJ31" s="9" t="inlineStr">
        <is>
          <t>needs_daily_tracking</t>
        </is>
      </c>
      <c r="AK31" s="9" t="inlineStr">
        <is>
          <t>用户要求坚持每日回测；本行按A股T+1日频调仓口径更新，区分回测信号与真实纸面成交。</t>
        </is>
      </c>
      <c r="AL31" s="9" t="inlineStr">
        <is>
          <t>训练/研究：检验当前纸面持仓池在统一策略下的历史表现。</t>
        </is>
      </c>
      <c r="AM31" s="9" t="inlineStr">
        <is>
          <t>2026-06-24</t>
        </is>
      </c>
      <c r="AN31" s="9" t="inlineStr">
        <is>
          <t>已完成</t>
        </is>
      </c>
      <c r="AO31" s="9" t="inlineStr">
        <is>
          <t>输出目录 trading-journal/backtests/2026-06-23-daily-portfolio；T+1日频回测，非高频；期末权益1086989.62，总收益8.6990%，最大回撤10.8126%，Sharpe0.7550，交易314次，回测当前持仓600036/600941。；回测初始资金1000000.0；回测期末权益1086989.62</t>
        </is>
      </c>
    </row>
    <row r="32">
      <c r="A32" s="5" t="inlineStr">
        <is>
          <t>2026-06-23</t>
        </is>
      </c>
      <c r="B32" s="5" t="inlineStr">
        <is>
          <t>2026-06-23 持仓</t>
        </is>
      </c>
      <c r="C32" s="5" t="inlineStr">
        <is>
          <t>持仓</t>
        </is>
      </c>
      <c r="D32" s="5" t="inlineStr"/>
      <c r="E32" s="5" t="inlineStr">
        <is>
          <t>002230</t>
        </is>
      </c>
      <c r="F32" s="5" t="inlineStr">
        <is>
          <t>科大讯飞</t>
        </is>
      </c>
      <c r="G32" s="5" t="inlineStr">
        <is>
          <t>持有</t>
        </is>
      </c>
      <c r="H32" s="5" t="inlineStr"/>
      <c r="I32" s="5" t="inlineStr">
        <is>
          <t>300</t>
        </is>
      </c>
      <c r="J32" s="5" t="inlineStr">
        <is>
          <t>42.68</t>
        </is>
      </c>
      <c r="K32" s="5" t="inlineStr">
        <is>
          <t>42.7184</t>
        </is>
      </c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>
        <is>
          <t>12804.0</t>
        </is>
      </c>
      <c r="U32" s="5" t="inlineStr"/>
      <c r="V32" s="5" t="inlineStr"/>
      <c r="W32" s="5" t="inlineStr"/>
      <c r="X32" s="5" t="inlineStr"/>
      <c r="Y32" s="5" t="inlineStr"/>
      <c r="Z32" s="5" t="inlineStr">
        <is>
          <t>-11.53</t>
        </is>
      </c>
      <c r="AA32" s="5" t="inlineStr">
        <is>
          <t>-0.09</t>
        </is>
      </c>
      <c r="AB32" s="5" t="inlineStr"/>
      <c r="AC32" s="5" t="inlineStr">
        <is>
          <t>1.3126</t>
        </is>
      </c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>
        <is>
          <t>持仓中</t>
        </is>
      </c>
      <c r="AO32" s="5" t="inlineStr"/>
    </row>
    <row r="33">
      <c r="A33" s="5" t="inlineStr">
        <is>
          <t>2026-06-23</t>
        </is>
      </c>
      <c r="B33" s="5" t="inlineStr">
        <is>
          <t>2026-06-23 持仓</t>
        </is>
      </c>
      <c r="C33" s="5" t="inlineStr">
        <is>
          <t>持仓</t>
        </is>
      </c>
      <c r="D33" s="5" t="inlineStr"/>
      <c r="E33" s="5" t="inlineStr">
        <is>
          <t>300750</t>
        </is>
      </c>
      <c r="F33" s="5" t="inlineStr">
        <is>
          <t>宁德时代</t>
        </is>
      </c>
      <c r="G33" s="5" t="inlineStr">
        <is>
          <t>持有</t>
        </is>
      </c>
      <c r="H33" s="5" t="inlineStr"/>
      <c r="I33" s="5" t="inlineStr">
        <is>
          <t>100</t>
        </is>
      </c>
      <c r="J33" s="5" t="inlineStr">
        <is>
          <t>401.59</t>
        </is>
      </c>
      <c r="K33" s="5" t="inlineStr">
        <is>
          <t>401.9154</t>
        </is>
      </c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40159.0</t>
        </is>
      </c>
      <c r="U33" s="5" t="inlineStr"/>
      <c r="V33" s="5" t="inlineStr"/>
      <c r="W33" s="5" t="inlineStr"/>
      <c r="X33" s="5" t="inlineStr"/>
      <c r="Y33" s="5" t="inlineStr"/>
      <c r="Z33" s="5" t="inlineStr">
        <is>
          <t>-32.54</t>
        </is>
      </c>
      <c r="AA33" s="5" t="inlineStr">
        <is>
          <t>-0.081</t>
        </is>
      </c>
      <c r="AB33" s="5" t="inlineStr"/>
      <c r="AC33" s="5" t="inlineStr">
        <is>
          <t>4.117</t>
        </is>
      </c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>
        <is>
          <t>持仓中</t>
        </is>
      </c>
      <c r="AO33" s="5" t="inlineStr"/>
    </row>
    <row r="34">
      <c r="A34" s="5" t="inlineStr">
        <is>
          <t>2026-06-23</t>
        </is>
      </c>
      <c r="B34" s="5" t="inlineStr">
        <is>
          <t>2026-06-23 持仓</t>
        </is>
      </c>
      <c r="C34" s="5" t="inlineStr">
        <is>
          <t>持仓</t>
        </is>
      </c>
      <c r="D34" s="5" t="inlineStr"/>
      <c r="E34" s="5" t="inlineStr">
        <is>
          <t>600036</t>
        </is>
      </c>
      <c r="F34" s="5" t="inlineStr">
        <is>
          <t>招商银行</t>
        </is>
      </c>
      <c r="G34" s="5" t="inlineStr">
        <is>
          <t>持有</t>
        </is>
      </c>
      <c r="H34" s="5" t="inlineStr"/>
      <c r="I34" s="5" t="inlineStr">
        <is>
          <t>1000</t>
        </is>
      </c>
      <c r="J34" s="5" t="inlineStr">
        <is>
          <t>37.78</t>
        </is>
      </c>
      <c r="K34" s="5" t="inlineStr">
        <is>
          <t>37.8106</t>
        </is>
      </c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>
        <is>
          <t>37780.0</t>
        </is>
      </c>
      <c r="U34" s="5" t="inlineStr"/>
      <c r="V34" s="5" t="inlineStr"/>
      <c r="W34" s="5" t="inlineStr"/>
      <c r="X34" s="5" t="inlineStr"/>
      <c r="Y34" s="5" t="inlineStr"/>
      <c r="Z34" s="5" t="inlineStr">
        <is>
          <t>-30.61</t>
        </is>
      </c>
      <c r="AA34" s="5" t="inlineStr">
        <is>
          <t>-0.081</t>
        </is>
      </c>
      <c r="AB34" s="5" t="inlineStr"/>
      <c r="AC34" s="5" t="inlineStr">
        <is>
          <t>3.8731</t>
        </is>
      </c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>
        <is>
          <t>持仓中</t>
        </is>
      </c>
      <c r="AO34" s="5" t="inlineStr"/>
    </row>
    <row r="35">
      <c r="A35" s="5" t="inlineStr">
        <is>
          <t>2026-06-23</t>
        </is>
      </c>
      <c r="B35" s="5" t="inlineStr">
        <is>
          <t>2026-06-23 持仓</t>
        </is>
      </c>
      <c r="C35" s="5" t="inlineStr">
        <is>
          <t>持仓</t>
        </is>
      </c>
      <c r="D35" s="5" t="inlineStr"/>
      <c r="E35" s="5" t="inlineStr">
        <is>
          <t>600519</t>
        </is>
      </c>
      <c r="F35" s="5" t="inlineStr">
        <is>
          <t>贵州茅台</t>
        </is>
      </c>
      <c r="G35" s="5" t="inlineStr">
        <is>
          <t>持有</t>
        </is>
      </c>
      <c r="H35" s="5" t="inlineStr"/>
      <c r="I35" s="5" t="inlineStr">
        <is>
          <t>100</t>
        </is>
      </c>
      <c r="J35" s="5" t="inlineStr">
        <is>
          <t>1257.02</t>
        </is>
      </c>
      <c r="K35" s="5" t="inlineStr">
        <is>
          <t>1501.4004</t>
        </is>
      </c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125702.0</t>
        </is>
      </c>
      <c r="U35" s="5" t="inlineStr"/>
      <c r="V35" s="5" t="inlineStr"/>
      <c r="W35" s="5" t="inlineStr"/>
      <c r="X35" s="5" t="inlineStr"/>
      <c r="Y35" s="5" t="inlineStr"/>
      <c r="Z35" s="5" t="inlineStr">
        <is>
          <t>-24438.04</t>
        </is>
      </c>
      <c r="AA35" s="5" t="inlineStr">
        <is>
          <t>-16.2768</t>
        </is>
      </c>
      <c r="AB35" s="5" t="inlineStr"/>
      <c r="AC35" s="5" t="inlineStr">
        <is>
          <t>12.8868</t>
        </is>
      </c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>
        <is>
          <t>持仓中</t>
        </is>
      </c>
      <c r="AO35" s="5" t="inlineStr"/>
    </row>
    <row r="36">
      <c r="A36" s="5" t="inlineStr">
        <is>
          <t>2026-06-23</t>
        </is>
      </c>
      <c r="B36" s="5" t="inlineStr">
        <is>
          <t>2026-06-23 持仓</t>
        </is>
      </c>
      <c r="C36" s="5" t="inlineStr">
        <is>
          <t>持仓</t>
        </is>
      </c>
      <c r="D36" s="5" t="inlineStr"/>
      <c r="E36" s="5" t="inlineStr">
        <is>
          <t>600941</t>
        </is>
      </c>
      <c r="F36" s="5" t="inlineStr">
        <is>
          <t>中国移动</t>
        </is>
      </c>
      <c r="G36" s="5" t="inlineStr">
        <is>
          <t>持有</t>
        </is>
      </c>
      <c r="H36" s="5" t="inlineStr"/>
      <c r="I36" s="5" t="inlineStr">
        <is>
          <t>400</t>
        </is>
      </c>
      <c r="J36" s="5" t="inlineStr">
        <is>
          <t>90.95</t>
        </is>
      </c>
      <c r="K36" s="5" t="inlineStr">
        <is>
          <t>91.0237</t>
        </is>
      </c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>
        <is>
          <t>36380.0</t>
        </is>
      </c>
      <c r="U36" s="5" t="inlineStr"/>
      <c r="V36" s="5" t="inlineStr"/>
      <c r="W36" s="5" t="inlineStr"/>
      <c r="X36" s="5" t="inlineStr"/>
      <c r="Y36" s="5" t="inlineStr"/>
      <c r="Z36" s="5" t="inlineStr">
        <is>
          <t>-29.47</t>
        </is>
      </c>
      <c r="AA36" s="5" t="inlineStr">
        <is>
          <t>-0.0809</t>
        </is>
      </c>
      <c r="AB36" s="5" t="inlineStr"/>
      <c r="AC36" s="5" t="inlineStr">
        <is>
          <t>3.7296</t>
        </is>
      </c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>
        <is>
          <t>持仓中</t>
        </is>
      </c>
      <c r="AO36" s="5" t="inlineStr"/>
    </row>
    <row r="37">
      <c r="A37" s="5" t="inlineStr">
        <is>
          <t>2026-06-23</t>
        </is>
      </c>
      <c r="B37" s="5" t="inlineStr">
        <is>
          <t>2026-06-23 持仓</t>
        </is>
      </c>
      <c r="C37" s="5" t="inlineStr">
        <is>
          <t>持仓</t>
        </is>
      </c>
      <c r="D37" s="5" t="inlineStr"/>
      <c r="E37" s="5" t="inlineStr">
        <is>
          <t>688981</t>
        </is>
      </c>
      <c r="F37" s="5" t="inlineStr">
        <is>
          <t>中芯国际</t>
        </is>
      </c>
      <c r="G37" s="5" t="inlineStr">
        <is>
          <t>持有</t>
        </is>
      </c>
      <c r="H37" s="5" t="inlineStr"/>
      <c r="I37" s="5" t="inlineStr">
        <is>
          <t>200</t>
        </is>
      </c>
      <c r="J37" s="5" t="inlineStr">
        <is>
          <t>144.02</t>
        </is>
      </c>
      <c r="K37" s="5" t="inlineStr">
        <is>
          <t>144.1367</t>
        </is>
      </c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>
        <is>
          <t>28804.0</t>
        </is>
      </c>
      <c r="U37" s="5" t="inlineStr"/>
      <c r="V37" s="5" t="inlineStr"/>
      <c r="W37" s="5" t="inlineStr"/>
      <c r="X37" s="5" t="inlineStr"/>
      <c r="Y37" s="5" t="inlineStr"/>
      <c r="Z37" s="5" t="inlineStr">
        <is>
          <t>-23.33</t>
        </is>
      </c>
      <c r="AA37" s="5" t="inlineStr">
        <is>
          <t>-0.0809</t>
        </is>
      </c>
      <c r="AB37" s="5" t="inlineStr"/>
      <c r="AC37" s="5" t="inlineStr">
        <is>
          <t>2.9529</t>
        </is>
      </c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>
        <is>
          <t>持仓中</t>
        </is>
      </c>
      <c r="AO37" s="5" t="inlineStr"/>
    </row>
    <row r="38">
      <c r="A38" s="7" t="inlineStr">
        <is>
          <t>2026-06-24</t>
        </is>
      </c>
      <c r="B38" s="7" t="inlineStr">
        <is>
          <t>2026-06-24 交易</t>
        </is>
      </c>
      <c r="C38" s="7" t="inlineStr">
        <is>
          <t>成交</t>
        </is>
      </c>
      <c r="D38" s="7" t="inlineStr">
        <is>
          <t>10:07</t>
        </is>
      </c>
      <c r="E38" s="7" t="inlineStr">
        <is>
          <t>300750</t>
        </is>
      </c>
      <c r="F38" s="7" t="inlineStr">
        <is>
          <t>宁德时代</t>
        </is>
      </c>
      <c r="G38" s="7" t="inlineStr">
        <is>
          <t>卖出</t>
        </is>
      </c>
      <c r="H38" s="7" t="inlineStr">
        <is>
          <t>卖出</t>
        </is>
      </c>
      <c r="I38" s="7" t="inlineStr">
        <is>
          <t>30</t>
        </is>
      </c>
      <c r="J38" s="7" t="inlineStr">
        <is>
          <t>389.755</t>
        </is>
      </c>
      <c r="K38" s="7" t="inlineStr"/>
      <c r="L38" s="7" t="inlineStr">
        <is>
          <t>11692.65</t>
        </is>
      </c>
      <c r="M38" s="7" t="inlineStr">
        <is>
          <t>5.0</t>
        </is>
      </c>
      <c r="N38" s="7" t="inlineStr">
        <is>
          <t>5.85</t>
        </is>
      </c>
      <c r="O38" s="7" t="inlineStr">
        <is>
          <t>0.12</t>
        </is>
      </c>
      <c r="P38" s="7" t="inlineStr">
        <is>
          <t>10.96</t>
        </is>
      </c>
      <c r="Q38" s="7" t="inlineStr">
        <is>
          <t>11681.69</t>
        </is>
      </c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>
        <is>
          <t>continue-frequency-20260624-v1</t>
        </is>
      </c>
      <c r="AG38" s="7" t="inlineStr">
        <is>
          <t>continue-frequency-20260624-v1</t>
        </is>
      </c>
      <c r="AH38" s="7" t="inlineStr"/>
      <c r="AI38" s="7" t="inlineStr"/>
      <c r="AJ38" s="7" t="inlineStr"/>
      <c r="AK38" s="7" t="inlineStr">
        <is>
          <t>按用户要求延续昨日交易频次；300750评分36.6、弱于MA20/MA60，纸面减仓验证止损纪律</t>
        </is>
      </c>
      <c r="AL38" s="7" t="inlineStr"/>
      <c r="AM38" s="7" t="inlineStr"/>
      <c r="AN38" s="7" t="inlineStr">
        <is>
          <t>已成交</t>
        </is>
      </c>
      <c r="AO38" s="7" t="inlineStr">
        <is>
          <t>训练/研究纸面卖出，不构成投资建议；保留70股，10:30复核是否收回390和今开392。</t>
        </is>
      </c>
    </row>
    <row r="39">
      <c r="A39" s="7" t="inlineStr">
        <is>
          <t>2026-06-24</t>
        </is>
      </c>
      <c r="B39" s="7" t="inlineStr">
        <is>
          <t>2026-06-24 交易</t>
        </is>
      </c>
      <c r="C39" s="7" t="inlineStr">
        <is>
          <t>成交</t>
        </is>
      </c>
      <c r="D39" s="7" t="inlineStr">
        <is>
          <t>10:08</t>
        </is>
      </c>
      <c r="E39" s="7" t="inlineStr">
        <is>
          <t>600036</t>
        </is>
      </c>
      <c r="F39" s="7" t="inlineStr">
        <is>
          <t>招商银行</t>
        </is>
      </c>
      <c r="G39" s="7" t="inlineStr">
        <is>
          <t>卖出</t>
        </is>
      </c>
      <c r="H39" s="7" t="inlineStr">
        <is>
          <t>卖出</t>
        </is>
      </c>
      <c r="I39" s="7" t="inlineStr">
        <is>
          <t>300</t>
        </is>
      </c>
      <c r="J39" s="7" t="inlineStr">
        <is>
          <t>37.0815</t>
        </is>
      </c>
      <c r="K39" s="7" t="inlineStr"/>
      <c r="L39" s="7" t="inlineStr">
        <is>
          <t>11124.44</t>
        </is>
      </c>
      <c r="M39" s="7" t="inlineStr">
        <is>
          <t>5.0</t>
        </is>
      </c>
      <c r="N39" s="7" t="inlineStr">
        <is>
          <t>5.56</t>
        </is>
      </c>
      <c r="O39" s="7" t="inlineStr">
        <is>
          <t>0.11</t>
        </is>
      </c>
      <c r="P39" s="7" t="inlineStr">
        <is>
          <t>10.67</t>
        </is>
      </c>
      <c r="Q39" s="7" t="inlineStr">
        <is>
          <t>11113.76</t>
        </is>
      </c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>
        <is>
          <t>continue-frequency-20260624-v1</t>
        </is>
      </c>
      <c r="AG39" s="7" t="inlineStr">
        <is>
          <t>continue-frequency-20260624-v1</t>
        </is>
      </c>
      <c r="AH39" s="7" t="inlineStr"/>
      <c r="AI39" s="7" t="inlineStr"/>
      <c r="AJ39" s="7" t="inlineStr"/>
      <c r="AK39" s="7" t="inlineStr">
        <is>
          <t>按用户要求延续昨日交易频次；600036早盘-0.80%且弱于今开，低波动样本纸面降仓</t>
        </is>
      </c>
      <c r="AL39" s="7" t="inlineStr"/>
      <c r="AM39" s="7" t="inlineStr"/>
      <c r="AN39" s="7" t="inlineStr">
        <is>
          <t>已成交</t>
        </is>
      </c>
      <c r="AO39" s="7" t="inlineStr">
        <is>
          <t>训练/研究纸面卖出，不构成投资建议；保留700股，若10:30不能收回37.49则不回补。</t>
        </is>
      </c>
    </row>
    <row r="40">
      <c r="A40" s="7" t="inlineStr">
        <is>
          <t>2026-06-24</t>
        </is>
      </c>
      <c r="B40" s="7" t="inlineStr">
        <is>
          <t>2026-06-24 交易</t>
        </is>
      </c>
      <c r="C40" s="7" t="inlineStr">
        <is>
          <t>成交</t>
        </is>
      </c>
      <c r="D40" s="7" t="inlineStr">
        <is>
          <t>10:06</t>
        </is>
      </c>
      <c r="E40" s="7" t="inlineStr">
        <is>
          <t>600519</t>
        </is>
      </c>
      <c r="F40" s="7" t="inlineStr">
        <is>
          <t>贵州茅台</t>
        </is>
      </c>
      <c r="G40" s="7" t="inlineStr">
        <is>
          <t>卖出</t>
        </is>
      </c>
      <c r="H40" s="7" t="inlineStr">
        <is>
          <t>卖出</t>
        </is>
      </c>
      <c r="I40" s="7" t="inlineStr">
        <is>
          <t>30</t>
        </is>
      </c>
      <c r="J40" s="7" t="inlineStr">
        <is>
          <t>1215.2721</t>
        </is>
      </c>
      <c r="K40" s="7" t="inlineStr"/>
      <c r="L40" s="7" t="inlineStr">
        <is>
          <t>36458.16</t>
        </is>
      </c>
      <c r="M40" s="7" t="inlineStr">
        <is>
          <t>10.94</t>
        </is>
      </c>
      <c r="N40" s="7" t="inlineStr">
        <is>
          <t>18.23</t>
        </is>
      </c>
      <c r="O40" s="7" t="inlineStr">
        <is>
          <t>0.36</t>
        </is>
      </c>
      <c r="P40" s="7" t="inlineStr">
        <is>
          <t>29.53</t>
        </is>
      </c>
      <c r="Q40" s="7" t="inlineStr">
        <is>
          <t>36428.63</t>
        </is>
      </c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>
        <is>
          <t>continue-frequency-20260624-v1</t>
        </is>
      </c>
      <c r="AG40" s="7" t="inlineStr">
        <is>
          <t>continue-frequency-20260624-v1</t>
        </is>
      </c>
      <c r="AH40" s="7" t="inlineStr"/>
      <c r="AI40" s="7" t="inlineStr"/>
      <c r="AJ40" s="7" t="inlineStr"/>
      <c r="AK40" s="7" t="inlineStr">
        <is>
          <t>按用户要求延续昨日交易频次；600519评分39且近120日回撤超20%，纸面减仓控制单票权重</t>
        </is>
      </c>
      <c r="AL40" s="7" t="inlineStr"/>
      <c r="AM40" s="7" t="inlineStr"/>
      <c r="AN40" s="7" t="inlineStr">
        <is>
          <t>已成交</t>
        </is>
      </c>
      <c r="AO40" s="7" t="inlineStr">
        <is>
          <t>训练/研究纸面卖出，不构成投资建议；保留70股连续持仓，10:30复核是否收回今开1222.65，否则继续降风险。</t>
        </is>
      </c>
    </row>
    <row r="41">
      <c r="A41" s="7" t="inlineStr">
        <is>
          <t>2026-06-24</t>
        </is>
      </c>
      <c r="B41" s="7" t="inlineStr">
        <is>
          <t>2026-06-24 交易</t>
        </is>
      </c>
      <c r="C41" s="7" t="inlineStr">
        <is>
          <t>成交</t>
        </is>
      </c>
      <c r="D41" s="7" t="inlineStr">
        <is>
          <t>10:09</t>
        </is>
      </c>
      <c r="E41" s="7" t="inlineStr">
        <is>
          <t>600941</t>
        </is>
      </c>
      <c r="F41" s="7" t="inlineStr">
        <is>
          <t>中国移动</t>
        </is>
      </c>
      <c r="G41" s="7" t="inlineStr">
        <is>
          <t>卖出</t>
        </is>
      </c>
      <c r="H41" s="7" t="inlineStr">
        <is>
          <t>卖出</t>
        </is>
      </c>
      <c r="I41" s="7" t="inlineStr">
        <is>
          <t>100</t>
        </is>
      </c>
      <c r="J41" s="7" t="inlineStr">
        <is>
          <t>89.6552</t>
        </is>
      </c>
      <c r="K41" s="7" t="inlineStr"/>
      <c r="L41" s="7" t="inlineStr">
        <is>
          <t>8965.52</t>
        </is>
      </c>
      <c r="M41" s="7" t="inlineStr">
        <is>
          <t>5.0</t>
        </is>
      </c>
      <c r="N41" s="7" t="inlineStr">
        <is>
          <t>4.48</t>
        </is>
      </c>
      <c r="O41" s="7" t="inlineStr">
        <is>
          <t>0.09</t>
        </is>
      </c>
      <c r="P41" s="7" t="inlineStr">
        <is>
          <t>9.57</t>
        </is>
      </c>
      <c r="Q41" s="7" t="inlineStr">
        <is>
          <t>8955.94</t>
        </is>
      </c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>
        <is>
          <t>continue-frequency-20260624-v1</t>
        </is>
      </c>
      <c r="AG41" s="7" t="inlineStr">
        <is>
          <t>continue-frequency-20260624-v1</t>
        </is>
      </c>
      <c r="AH41" s="7" t="inlineStr"/>
      <c r="AI41" s="7" t="inlineStr"/>
      <c r="AJ41" s="7" t="inlineStr"/>
      <c r="AK41" s="7" t="inlineStr">
        <is>
          <t>按用户要求延续昨日交易频次；600941早盘-0.91%且跌破昨日成本，纸面降低防守仓</t>
        </is>
      </c>
      <c r="AL41" s="7" t="inlineStr"/>
      <c r="AM41" s="7" t="inlineStr"/>
      <c r="AN41" s="7" t="inlineStr">
        <is>
          <t>已成交</t>
        </is>
      </c>
      <c r="AO41" s="7" t="inlineStr">
        <is>
          <t>训练/研究纸面卖出，不构成投资建议；保留300股，10:30复核是否收回90.52。</t>
        </is>
      </c>
    </row>
    <row r="42">
      <c r="A42" s="7" t="inlineStr">
        <is>
          <t>2026-06-24</t>
        </is>
      </c>
      <c r="B42" s="7" t="inlineStr">
        <is>
          <t>2026-06-24 交易</t>
        </is>
      </c>
      <c r="C42" s="7" t="inlineStr">
        <is>
          <t>成交</t>
        </is>
      </c>
      <c r="D42" s="7" t="inlineStr">
        <is>
          <t>10:10</t>
        </is>
      </c>
      <c r="E42" s="7" t="inlineStr">
        <is>
          <t>688981</t>
        </is>
      </c>
      <c r="F42" s="7" t="inlineStr">
        <is>
          <t>中芯国际</t>
        </is>
      </c>
      <c r="G42" s="7" t="inlineStr">
        <is>
          <t>买入</t>
        </is>
      </c>
      <c r="H42" s="7" t="inlineStr">
        <is>
          <t>买入</t>
        </is>
      </c>
      <c r="I42" s="7" t="inlineStr">
        <is>
          <t>100</t>
        </is>
      </c>
      <c r="J42" s="7" t="inlineStr">
        <is>
          <t>148.7443</t>
        </is>
      </c>
      <c r="K42" s="7" t="inlineStr"/>
      <c r="L42" s="7" t="inlineStr">
        <is>
          <t>14874.43</t>
        </is>
      </c>
      <c r="M42" s="7" t="inlineStr">
        <is>
          <t>5.0</t>
        </is>
      </c>
      <c r="N42" s="7" t="inlineStr">
        <is>
          <t>0.0</t>
        </is>
      </c>
      <c r="O42" s="7" t="inlineStr">
        <is>
          <t>0.15</t>
        </is>
      </c>
      <c r="P42" s="7" t="inlineStr">
        <is>
          <t>5.15</t>
        </is>
      </c>
      <c r="Q42" s="7" t="inlineStr">
        <is>
          <t>-14879.58</t>
        </is>
      </c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>
        <is>
          <t>continue-frequency-20260624-v1</t>
        </is>
      </c>
      <c r="AG42" s="7" t="inlineStr">
        <is>
          <t>continue-frequency-20260624-v1</t>
        </is>
      </c>
      <c r="AH42" s="7" t="inlineStr"/>
      <c r="AI42" s="7" t="inlineStr"/>
      <c r="AJ42" s="7" t="inlineStr"/>
      <c r="AK42" s="7" t="inlineStr">
        <is>
          <t>按用户要求延续昨日交易频次；688981早盘+4.92%为当前组合唯一明显转强样本，纸面小幅加仓验证强者留存</t>
        </is>
      </c>
      <c r="AL42" s="7" t="inlineStr"/>
      <c r="AM42" s="7" t="inlineStr"/>
      <c r="AN42" s="7" t="inlineStr">
        <is>
          <t>已成交</t>
        </is>
      </c>
      <c r="AO42" s="7" t="inlineStr">
        <is>
          <t>训练/研究纸面买入，不构成投资建议；普通日线非前复权，复权一致性需二次确认；若跌回141.50今开下方则撤销加仓逻辑。</t>
        </is>
      </c>
    </row>
    <row r="43">
      <c r="A43" s="8" t="inlineStr">
        <is>
          <t>2026-06-24</t>
        </is>
      </c>
      <c r="B43" s="8" t="inlineStr">
        <is>
          <t>2026-06-24 组合汇总</t>
        </is>
      </c>
      <c r="C43" s="8" t="inlineStr">
        <is>
          <t>组合汇总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>
        <is>
          <t>747105.91</t>
        </is>
      </c>
      <c r="S43" s="8" t="inlineStr">
        <is>
          <t>222492.1</t>
        </is>
      </c>
      <c r="T43" s="8" t="inlineStr"/>
      <c r="U43" s="8" t="inlineStr">
        <is>
          <t>975434.47</t>
        </is>
      </c>
      <c r="V43" s="8" t="inlineStr">
        <is>
          <t>969598.01</t>
        </is>
      </c>
      <c r="W43" s="8" t="inlineStr">
        <is>
          <t>-5836.46</t>
        </is>
      </c>
      <c r="X43" s="8" t="inlineStr">
        <is>
          <t>-0.5983</t>
        </is>
      </c>
      <c r="Y43" s="8" t="inlineStr"/>
      <c r="Z43" s="8" t="inlineStr"/>
      <c r="AA43" s="8" t="inlineStr"/>
      <c r="AB43" s="8" t="inlineStr">
        <is>
          <t>22.9468</t>
        </is>
      </c>
      <c r="AC43" s="8" t="inlineStr"/>
      <c r="AD43" s="8" t="inlineStr">
        <is>
          <t>-3.0402</t>
        </is>
      </c>
      <c r="AE43" s="8" t="inlineStr">
        <is>
          <t>OK</t>
        </is>
      </c>
      <c r="AF43" s="8" t="inlineStr"/>
      <c r="AG43" s="8" t="inlineStr"/>
      <c r="AH43" s="8" t="inlineStr"/>
      <c r="AI43" s="8" t="inlineStr"/>
      <c r="AJ43" s="8" t="inlineStr"/>
      <c r="AK43" s="8" t="inlineStr"/>
      <c r="AL43" s="8" t="inlineStr"/>
      <c r="AM43" s="8" t="inlineStr"/>
      <c r="AN43" s="8" t="inlineStr"/>
      <c r="AO43" s="8" t="inlineStr">
        <is>
          <t>按用户要求延续昨日5笔纸面交易频次：弱势持仓降风险，唯一强势688981小幅加仓；训练/研究，不构成投资建议；10:30复核收回今开和加仓有效性。</t>
        </is>
      </c>
    </row>
    <row r="44">
      <c r="A44" s="5" t="inlineStr">
        <is>
          <t>2026-06-24</t>
        </is>
      </c>
      <c r="B44" s="5" t="inlineStr">
        <is>
          <t>2026-06-24 持仓</t>
        </is>
      </c>
      <c r="C44" s="5" t="inlineStr">
        <is>
          <t>持仓</t>
        </is>
      </c>
      <c r="D44" s="5" t="inlineStr"/>
      <c r="E44" s="5" t="inlineStr">
        <is>
          <t>002230</t>
        </is>
      </c>
      <c r="F44" s="5" t="inlineStr">
        <is>
          <t>科大讯飞</t>
        </is>
      </c>
      <c r="G44" s="5" t="inlineStr">
        <is>
          <t>持有</t>
        </is>
      </c>
      <c r="H44" s="5" t="inlineStr"/>
      <c r="I44" s="5" t="inlineStr">
        <is>
          <t>300</t>
        </is>
      </c>
      <c r="J44" s="5" t="inlineStr">
        <is>
          <t>42.01</t>
        </is>
      </c>
      <c r="K44" s="5" t="inlineStr">
        <is>
          <t>42.7184</t>
        </is>
      </c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>
        <is>
          <t>12603.0</t>
        </is>
      </c>
      <c r="U44" s="5" t="inlineStr"/>
      <c r="V44" s="5" t="inlineStr"/>
      <c r="W44" s="5" t="inlineStr"/>
      <c r="X44" s="5" t="inlineStr"/>
      <c r="Y44" s="5" t="inlineStr"/>
      <c r="Z44" s="5" t="inlineStr">
        <is>
          <t>-212.53</t>
        </is>
      </c>
      <c r="AA44" s="5" t="inlineStr">
        <is>
          <t>-1.6584</t>
        </is>
      </c>
      <c r="AB44" s="5" t="inlineStr"/>
      <c r="AC44" s="5" t="inlineStr">
        <is>
          <t>1.2998</t>
        </is>
      </c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>
        <is>
          <t>持仓中</t>
        </is>
      </c>
      <c r="AO44" s="5" t="inlineStr"/>
    </row>
    <row r="45">
      <c r="A45" s="5" t="inlineStr">
        <is>
          <t>2026-06-24</t>
        </is>
      </c>
      <c r="B45" s="5" t="inlineStr">
        <is>
          <t>2026-06-24 持仓</t>
        </is>
      </c>
      <c r="C45" s="5" t="inlineStr">
        <is>
          <t>持仓</t>
        </is>
      </c>
      <c r="D45" s="5" t="inlineStr"/>
      <c r="E45" s="5" t="inlineStr">
        <is>
          <t>300750</t>
        </is>
      </c>
      <c r="F45" s="5" t="inlineStr">
        <is>
          <t>宁德时代</t>
        </is>
      </c>
      <c r="G45" s="5" t="inlineStr">
        <is>
          <t>持有</t>
        </is>
      </c>
      <c r="H45" s="5" t="inlineStr"/>
      <c r="I45" s="5" t="inlineStr">
        <is>
          <t>70</t>
        </is>
      </c>
      <c r="J45" s="5" t="inlineStr">
        <is>
          <t>389.95</t>
        </is>
      </c>
      <c r="K45" s="5" t="inlineStr">
        <is>
          <t>401.9154</t>
        </is>
      </c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>
        <is>
          <t>27296.5</t>
        </is>
      </c>
      <c r="U45" s="5" t="inlineStr"/>
      <c r="V45" s="5" t="inlineStr"/>
      <c r="W45" s="5" t="inlineStr"/>
      <c r="X45" s="5" t="inlineStr"/>
      <c r="Y45" s="5" t="inlineStr"/>
      <c r="Z45" s="5" t="inlineStr">
        <is>
          <t>-837.58</t>
        </is>
      </c>
      <c r="AA45" s="5" t="inlineStr">
        <is>
          <t>-2.9771</t>
        </is>
      </c>
      <c r="AB45" s="5" t="inlineStr"/>
      <c r="AC45" s="5" t="inlineStr">
        <is>
          <t>2.8152</t>
        </is>
      </c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>
        <is>
          <t>持仓中</t>
        </is>
      </c>
      <c r="AO45" s="5" t="inlineStr"/>
    </row>
    <row r="46">
      <c r="A46" s="5" t="inlineStr">
        <is>
          <t>2026-06-24</t>
        </is>
      </c>
      <c r="B46" s="5" t="inlineStr">
        <is>
          <t>2026-06-24 持仓</t>
        </is>
      </c>
      <c r="C46" s="5" t="inlineStr">
        <is>
          <t>持仓</t>
        </is>
      </c>
      <c r="D46" s="5" t="inlineStr"/>
      <c r="E46" s="5" t="inlineStr">
        <is>
          <t>600036</t>
        </is>
      </c>
      <c r="F46" s="5" t="inlineStr">
        <is>
          <t>招商银行</t>
        </is>
      </c>
      <c r="G46" s="5" t="inlineStr">
        <is>
          <t>持有</t>
        </is>
      </c>
      <c r="H46" s="5" t="inlineStr"/>
      <c r="I46" s="5" t="inlineStr">
        <is>
          <t>700</t>
        </is>
      </c>
      <c r="J46" s="5" t="inlineStr">
        <is>
          <t>37.1</t>
        </is>
      </c>
      <c r="K46" s="5" t="inlineStr">
        <is>
          <t>37.8106</t>
        </is>
      </c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>
        <is>
          <t>25970.0</t>
        </is>
      </c>
      <c r="U46" s="5" t="inlineStr"/>
      <c r="V46" s="5" t="inlineStr"/>
      <c r="W46" s="5" t="inlineStr"/>
      <c r="X46" s="5" t="inlineStr"/>
      <c r="Y46" s="5" t="inlineStr"/>
      <c r="Z46" s="5" t="inlineStr">
        <is>
          <t>-497.43</t>
        </is>
      </c>
      <c r="AA46" s="5" t="inlineStr">
        <is>
          <t>-1.8794</t>
        </is>
      </c>
      <c r="AB46" s="5" t="inlineStr"/>
      <c r="AC46" s="5" t="inlineStr">
        <is>
          <t>2.6784</t>
        </is>
      </c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>
        <is>
          <t>持仓中</t>
        </is>
      </c>
      <c r="AO46" s="5" t="inlineStr"/>
    </row>
    <row r="47">
      <c r="A47" s="5" t="inlineStr">
        <is>
          <t>2026-06-24</t>
        </is>
      </c>
      <c r="B47" s="5" t="inlineStr">
        <is>
          <t>2026-06-24 持仓</t>
        </is>
      </c>
      <c r="C47" s="5" t="inlineStr">
        <is>
          <t>持仓</t>
        </is>
      </c>
      <c r="D47" s="5" t="inlineStr"/>
      <c r="E47" s="5" t="inlineStr">
        <is>
          <t>600519</t>
        </is>
      </c>
      <c r="F47" s="5" t="inlineStr">
        <is>
          <t>贵州茅台</t>
        </is>
      </c>
      <c r="G47" s="5" t="inlineStr">
        <is>
          <t>持有</t>
        </is>
      </c>
      <c r="H47" s="5" t="inlineStr"/>
      <c r="I47" s="5" t="inlineStr">
        <is>
          <t>70</t>
        </is>
      </c>
      <c r="J47" s="5" t="inlineStr">
        <is>
          <t>1215.88</t>
        </is>
      </c>
      <c r="K47" s="5" t="inlineStr">
        <is>
          <t>1501.4004</t>
        </is>
      </c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>
        <is>
          <t>85111.6</t>
        </is>
      </c>
      <c r="U47" s="5" t="inlineStr"/>
      <c r="V47" s="5" t="inlineStr"/>
      <c r="W47" s="5" t="inlineStr"/>
      <c r="X47" s="5" t="inlineStr"/>
      <c r="Y47" s="5" t="inlineStr"/>
      <c r="Z47" s="5" t="inlineStr">
        <is>
          <t>-19986.43</t>
        </is>
      </c>
      <c r="AA47" s="5" t="inlineStr">
        <is>
          <t>-19.0169</t>
        </is>
      </c>
      <c r="AB47" s="5" t="inlineStr"/>
      <c r="AC47" s="5" t="inlineStr">
        <is>
          <t>8.778</t>
        </is>
      </c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>
        <is>
          <t>持仓中</t>
        </is>
      </c>
      <c r="AO47" s="5" t="inlineStr"/>
    </row>
    <row r="48">
      <c r="A48" s="5" t="inlineStr">
        <is>
          <t>2026-06-24</t>
        </is>
      </c>
      <c r="B48" s="5" t="inlineStr">
        <is>
          <t>2026-06-24 持仓</t>
        </is>
      </c>
      <c r="C48" s="5" t="inlineStr">
        <is>
          <t>持仓</t>
        </is>
      </c>
      <c r="D48" s="5" t="inlineStr"/>
      <c r="E48" s="5" t="inlineStr">
        <is>
          <t>600941</t>
        </is>
      </c>
      <c r="F48" s="5" t="inlineStr">
        <is>
          <t>中国移动</t>
        </is>
      </c>
      <c r="G48" s="5" t="inlineStr">
        <is>
          <t>持有</t>
        </is>
      </c>
      <c r="H48" s="5" t="inlineStr"/>
      <c r="I48" s="5" t="inlineStr">
        <is>
          <t>300</t>
        </is>
      </c>
      <c r="J48" s="5" t="inlineStr">
        <is>
          <t>89.7</t>
        </is>
      </c>
      <c r="K48" s="5" t="inlineStr">
        <is>
          <t>91.0237</t>
        </is>
      </c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>
        <is>
          <t>26910.0</t>
        </is>
      </c>
      <c r="U48" s="5" t="inlineStr"/>
      <c r="V48" s="5" t="inlineStr"/>
      <c r="W48" s="5" t="inlineStr"/>
      <c r="X48" s="5" t="inlineStr"/>
      <c r="Y48" s="5" t="inlineStr"/>
      <c r="Z48" s="5" t="inlineStr">
        <is>
          <t>-397.1</t>
        </is>
      </c>
      <c r="AA48" s="5" t="inlineStr">
        <is>
          <t>-1.4542</t>
        </is>
      </c>
      <c r="AB48" s="5" t="inlineStr"/>
      <c r="AC48" s="5" t="inlineStr">
        <is>
          <t>2.7754</t>
        </is>
      </c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>
        <is>
          <t>持仓中</t>
        </is>
      </c>
      <c r="AO48" s="5" t="inlineStr"/>
    </row>
    <row r="49">
      <c r="A49" s="5" t="inlineStr">
        <is>
          <t>2026-06-24</t>
        </is>
      </c>
      <c r="B49" s="5" t="inlineStr">
        <is>
          <t>2026-06-24 持仓</t>
        </is>
      </c>
      <c r="C49" s="5" t="inlineStr">
        <is>
          <t>持仓</t>
        </is>
      </c>
      <c r="D49" s="5" t="inlineStr"/>
      <c r="E49" s="5" t="inlineStr">
        <is>
          <t>688981</t>
        </is>
      </c>
      <c r="F49" s="5" t="inlineStr">
        <is>
          <t>中芯国际</t>
        </is>
      </c>
      <c r="G49" s="5" t="inlineStr">
        <is>
          <t>持有</t>
        </is>
      </c>
      <c r="H49" s="5" t="inlineStr"/>
      <c r="I49" s="5" t="inlineStr">
        <is>
          <t>300</t>
        </is>
      </c>
      <c r="J49" s="5" t="inlineStr">
        <is>
          <t>148.67</t>
        </is>
      </c>
      <c r="K49" s="5" t="inlineStr">
        <is>
          <t>145.6897</t>
        </is>
      </c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>
        <is>
          <t>44601.0</t>
        </is>
      </c>
      <c r="U49" s="5" t="inlineStr"/>
      <c r="V49" s="5" t="inlineStr"/>
      <c r="W49" s="5" t="inlineStr"/>
      <c r="X49" s="5" t="inlineStr"/>
      <c r="Y49" s="5" t="inlineStr"/>
      <c r="Z49" s="5" t="inlineStr">
        <is>
          <t>894.09</t>
        </is>
      </c>
      <c r="AA49" s="5" t="inlineStr">
        <is>
          <t>2.0456</t>
        </is>
      </c>
      <c r="AB49" s="5" t="inlineStr"/>
      <c r="AC49" s="5" t="inlineStr">
        <is>
          <t>4.5999</t>
        </is>
      </c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>
        <is>
          <t>持仓中</t>
        </is>
      </c>
      <c r="AO49" s="5" t="inlineStr"/>
    </row>
    <row r="50">
      <c r="A50" s="3" t="inlineStr">
        <is>
          <t>2026-06-25</t>
        </is>
      </c>
      <c r="B50" s="3" t="inlineStr">
        <is>
          <t>2026-06-25 盘后策略计划</t>
        </is>
      </c>
      <c r="C50" s="3" t="inlineStr">
        <is>
          <t>交易计划</t>
        </is>
      </c>
      <c r="D50" s="3" t="inlineStr">
        <is>
          <t>15:40</t>
        </is>
      </c>
      <c r="E50" s="3" t="inlineStr">
        <is>
          <t>002230</t>
        </is>
      </c>
      <c r="F50" s="3" t="inlineStr">
        <is>
          <t>科大讯飞</t>
        </is>
      </c>
      <c r="G50" s="3" t="inlineStr">
        <is>
          <t>卖出</t>
        </is>
      </c>
      <c r="H50" s="3" t="inlineStr">
        <is>
          <t>明日按回测策略分层减仓计划</t>
        </is>
      </c>
      <c r="I50" s="3" t="inlineStr">
        <is>
          <t>100</t>
        </is>
      </c>
      <c r="J50" s="3" t="inlineStr">
        <is>
          <t>41.68</t>
        </is>
      </c>
      <c r="K50" s="3" t="inlineStr"/>
      <c r="L50" s="3" t="inlineStr">
        <is>
          <t>4168.00</t>
        </is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>
        <is>
          <t>score-standard-v1</t>
        </is>
      </c>
      <c r="AG50" s="3" t="inlineStr">
        <is>
          <t>score-standard-v1</t>
        </is>
      </c>
      <c r="AH50" s="3" t="inlineStr">
        <is>
          <t>entry=58 exit=45 partial_exit=33% min_history=180</t>
        </is>
      </c>
      <c r="AI50" s="3" t="inlineStr"/>
      <c r="AJ50" s="3" t="inlineStr"/>
      <c r="AK50" s="3" t="inlineStr">
        <is>
          <t>复用回测交易策略：评分43.1低于退出阈值45.0，生成分层减仓100股计划；15:00后不得补记今日成交，计划最早下一交易日09:30后按有效交易时段执行。</t>
        </is>
      </c>
      <c r="AL50" s="3" t="inlineStr">
        <is>
          <t>训练/研究纸面计划，不构成投资建议；执行前复核开盘流动性、是否继续低于退出阈值、是否触发T+1可卖仓位。</t>
        </is>
      </c>
      <c r="AM50" s="3" t="inlineStr">
        <is>
          <t>2026-06-26</t>
        </is>
      </c>
      <c r="AN50" s="3" t="inlineStr">
        <is>
          <t>待执行</t>
        </is>
      </c>
      <c r="AO50" s="3" t="inlineStr">
        <is>
          <t>用户已确认可复用回测策略；今日不倒填成交。600519也低于退出阈值但当前70股不足一手，现有执行脚本返回0股，需修复零股/odd-lot卖出规则后再计划。</t>
        </is>
      </c>
    </row>
    <row r="51">
      <c r="A51" s="8" t="inlineStr">
        <is>
          <t>2026-06-25</t>
        </is>
      </c>
      <c r="B51" s="8" t="inlineStr">
        <is>
          <t>2026-06-25 组合汇总</t>
        </is>
      </c>
      <c r="C51" s="8" t="inlineStr">
        <is>
          <t>组合汇总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>
        <is>
          <t>747105.91</t>
        </is>
      </c>
      <c r="S51" s="8" t="inlineStr">
        <is>
          <t>224213.0</t>
        </is>
      </c>
      <c r="T51" s="8" t="inlineStr"/>
      <c r="U51" s="8" t="inlineStr">
        <is>
          <t>969598.01</t>
        </is>
      </c>
      <c r="V51" s="8" t="inlineStr">
        <is>
          <t>971318.91</t>
        </is>
      </c>
      <c r="W51" s="8" t="inlineStr">
        <is>
          <t>1720.90</t>
        </is>
      </c>
      <c r="X51" s="8" t="inlineStr">
        <is>
          <t>0.1775</t>
        </is>
      </c>
      <c r="Y51" s="8" t="inlineStr"/>
      <c r="Z51" s="8" t="inlineStr"/>
      <c r="AA51" s="8" t="inlineStr"/>
      <c r="AB51" s="8" t="inlineStr">
        <is>
          <t>23.0834</t>
        </is>
      </c>
      <c r="AC51" s="8" t="inlineStr"/>
      <c r="AD51" s="8" t="inlineStr">
        <is>
          <t>-2.8681</t>
        </is>
      </c>
      <c r="AE51" s="8" t="inlineStr">
        <is>
          <t>OK</t>
        </is>
      </c>
      <c r="AF51" s="8" t="inlineStr"/>
      <c r="AG51" s="8" t="inlineStr"/>
      <c r="AH51" s="8" t="inlineStr"/>
      <c r="AI51" s="8" t="inlineStr"/>
      <c r="AJ51" s="8" t="inlineStr"/>
      <c r="AK51" s="8" t="inlineStr"/>
      <c r="AL51" s="8" t="inlineStr"/>
      <c r="AM51" s="8" t="inlineStr"/>
      <c r="AN51" s="8" t="inlineStr"/>
      <c r="AO51" s="8" t="inlineStr">
        <is>
          <t>盘后每日风险监控：6只纸面持仓估值更新；无新增纸面成交；T+1可卖仓位为既有持仓全部可卖，今日无买入；600519仍弱于MA5/MA10/MA20/MA60且近120日回撤超20%，只做分层减仓纪律观察；300750修复但未站稳MA20；688981为普通日线回退，复权一致性需二次确认；训练/研究，不构成投资建议。；已按上一交易日2026-06-24期末权益修正当日盈亏口径。</t>
        </is>
      </c>
    </row>
    <row r="52">
      <c r="A52" s="5" t="inlineStr">
        <is>
          <t>2026-06-25</t>
        </is>
      </c>
      <c r="B52" s="5" t="inlineStr">
        <is>
          <t>2026-06-25 持仓</t>
        </is>
      </c>
      <c r="C52" s="5" t="inlineStr">
        <is>
          <t>持仓</t>
        </is>
      </c>
      <c r="D52" s="5" t="inlineStr"/>
      <c r="E52" s="5" t="inlineStr">
        <is>
          <t>002230</t>
        </is>
      </c>
      <c r="F52" s="5" t="inlineStr">
        <is>
          <t>科大讯飞</t>
        </is>
      </c>
      <c r="G52" s="5" t="inlineStr">
        <is>
          <t>持有</t>
        </is>
      </c>
      <c r="H52" s="5" t="inlineStr"/>
      <c r="I52" s="5" t="inlineStr">
        <is>
          <t>300</t>
        </is>
      </c>
      <c r="J52" s="5" t="inlineStr">
        <is>
          <t>41.68</t>
        </is>
      </c>
      <c r="K52" s="5" t="inlineStr">
        <is>
          <t>42.7184</t>
        </is>
      </c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>
        <is>
          <t>12504.0</t>
        </is>
      </c>
      <c r="U52" s="5" t="inlineStr"/>
      <c r="V52" s="5" t="inlineStr"/>
      <c r="W52" s="5" t="inlineStr"/>
      <c r="X52" s="5" t="inlineStr"/>
      <c r="Y52" s="5" t="inlineStr"/>
      <c r="Z52" s="5" t="inlineStr">
        <is>
          <t>-311.53</t>
        </is>
      </c>
      <c r="AA52" s="5" t="inlineStr">
        <is>
          <t>-2.4309</t>
        </is>
      </c>
      <c r="AB52" s="5" t="inlineStr"/>
      <c r="AC52" s="5" t="inlineStr">
        <is>
          <t>1.2873</t>
        </is>
      </c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>
        <is>
          <t>持仓中</t>
        </is>
      </c>
      <c r="AO52" s="5" t="inlineStr"/>
    </row>
    <row r="53">
      <c r="A53" s="5" t="inlineStr">
        <is>
          <t>2026-06-25</t>
        </is>
      </c>
      <c r="B53" s="5" t="inlineStr">
        <is>
          <t>2026-06-25 持仓</t>
        </is>
      </c>
      <c r="C53" s="5" t="inlineStr">
        <is>
          <t>持仓</t>
        </is>
      </c>
      <c r="D53" s="5" t="inlineStr"/>
      <c r="E53" s="5" t="inlineStr">
        <is>
          <t>300750</t>
        </is>
      </c>
      <c r="F53" s="5" t="inlineStr">
        <is>
          <t>宁德时代</t>
        </is>
      </c>
      <c r="G53" s="5" t="inlineStr">
        <is>
          <t>持有</t>
        </is>
      </c>
      <c r="H53" s="5" t="inlineStr"/>
      <c r="I53" s="5" t="inlineStr">
        <is>
          <t>70</t>
        </is>
      </c>
      <c r="J53" s="5" t="inlineStr">
        <is>
          <t>401.9</t>
        </is>
      </c>
      <c r="K53" s="5" t="inlineStr">
        <is>
          <t>401.9154</t>
        </is>
      </c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>
        <is>
          <t>28133.0</t>
        </is>
      </c>
      <c r="U53" s="5" t="inlineStr"/>
      <c r="V53" s="5" t="inlineStr"/>
      <c r="W53" s="5" t="inlineStr"/>
      <c r="X53" s="5" t="inlineStr"/>
      <c r="Y53" s="5" t="inlineStr"/>
      <c r="Z53" s="5" t="inlineStr">
        <is>
          <t>-1.08</t>
        </is>
      </c>
      <c r="AA53" s="5" t="inlineStr">
        <is>
          <t>-0.0038</t>
        </is>
      </c>
      <c r="AB53" s="5" t="inlineStr"/>
      <c r="AC53" s="5" t="inlineStr">
        <is>
          <t>2.8964</t>
        </is>
      </c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>
        <is>
          <t>持仓中</t>
        </is>
      </c>
      <c r="AO53" s="5" t="inlineStr"/>
    </row>
    <row r="54">
      <c r="A54" s="5" t="inlineStr">
        <is>
          <t>2026-06-25</t>
        </is>
      </c>
      <c r="B54" s="5" t="inlineStr">
        <is>
          <t>2026-06-25 持仓</t>
        </is>
      </c>
      <c r="C54" s="5" t="inlineStr">
        <is>
          <t>持仓</t>
        </is>
      </c>
      <c r="D54" s="5" t="inlineStr"/>
      <c r="E54" s="5" t="inlineStr">
        <is>
          <t>600036</t>
        </is>
      </c>
      <c r="F54" s="5" t="inlineStr">
        <is>
          <t>招商银行</t>
        </is>
      </c>
      <c r="G54" s="5" t="inlineStr">
        <is>
          <t>持有</t>
        </is>
      </c>
      <c r="H54" s="5" t="inlineStr"/>
      <c r="I54" s="5" t="inlineStr">
        <is>
          <t>700</t>
        </is>
      </c>
      <c r="J54" s="5" t="inlineStr">
        <is>
          <t>36.23</t>
        </is>
      </c>
      <c r="K54" s="5" t="inlineStr">
        <is>
          <t>37.8106</t>
        </is>
      </c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>
        <is>
          <t>25361.0</t>
        </is>
      </c>
      <c r="U54" s="5" t="inlineStr"/>
      <c r="V54" s="5" t="inlineStr"/>
      <c r="W54" s="5" t="inlineStr"/>
      <c r="X54" s="5" t="inlineStr"/>
      <c r="Y54" s="5" t="inlineStr"/>
      <c r="Z54" s="5" t="inlineStr">
        <is>
          <t>-1106.43</t>
        </is>
      </c>
      <c r="AA54" s="5" t="inlineStr">
        <is>
          <t>-4.1803</t>
        </is>
      </c>
      <c r="AB54" s="5" t="inlineStr"/>
      <c r="AC54" s="5" t="inlineStr">
        <is>
          <t>2.611</t>
        </is>
      </c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>
        <is>
          <t>持仓中</t>
        </is>
      </c>
      <c r="AO54" s="5" t="inlineStr"/>
    </row>
    <row r="55">
      <c r="A55" s="5" t="inlineStr">
        <is>
          <t>2026-06-25</t>
        </is>
      </c>
      <c r="B55" s="5" t="inlineStr">
        <is>
          <t>2026-06-25 持仓</t>
        </is>
      </c>
      <c r="C55" s="5" t="inlineStr">
        <is>
          <t>持仓</t>
        </is>
      </c>
      <c r="D55" s="5" t="inlineStr"/>
      <c r="E55" s="5" t="inlineStr">
        <is>
          <t>600519</t>
        </is>
      </c>
      <c r="F55" s="5" t="inlineStr">
        <is>
          <t>贵州茅台</t>
        </is>
      </c>
      <c r="G55" s="5" t="inlineStr">
        <is>
          <t>持有</t>
        </is>
      </c>
      <c r="H55" s="5" t="inlineStr"/>
      <c r="I55" s="5" t="inlineStr">
        <is>
          <t>70</t>
        </is>
      </c>
      <c r="J55" s="5" t="inlineStr">
        <is>
          <t>1212.1</t>
        </is>
      </c>
      <c r="K55" s="5" t="inlineStr">
        <is>
          <t>1501.4004</t>
        </is>
      </c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>
        <is>
          <t>84847.0</t>
        </is>
      </c>
      <c r="U55" s="5" t="inlineStr"/>
      <c r="V55" s="5" t="inlineStr"/>
      <c r="W55" s="5" t="inlineStr"/>
      <c r="X55" s="5" t="inlineStr"/>
      <c r="Y55" s="5" t="inlineStr"/>
      <c r="Z55" s="5" t="inlineStr">
        <is>
          <t>-20251.03</t>
        </is>
      </c>
      <c r="AA55" s="5" t="inlineStr">
        <is>
          <t>-19.2687</t>
        </is>
      </c>
      <c r="AB55" s="5" t="inlineStr"/>
      <c r="AC55" s="5" t="inlineStr">
        <is>
          <t>8.7352</t>
        </is>
      </c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>
        <is>
          <t>持仓中</t>
        </is>
      </c>
      <c r="AO55" s="5" t="inlineStr"/>
    </row>
    <row r="56">
      <c r="A56" s="5" t="inlineStr">
        <is>
          <t>2026-06-25</t>
        </is>
      </c>
      <c r="B56" s="5" t="inlineStr">
        <is>
          <t>2026-06-25 持仓</t>
        </is>
      </c>
      <c r="C56" s="5" t="inlineStr">
        <is>
          <t>持仓</t>
        </is>
      </c>
      <c r="D56" s="5" t="inlineStr"/>
      <c r="E56" s="5" t="inlineStr">
        <is>
          <t>600941</t>
        </is>
      </c>
      <c r="F56" s="5" t="inlineStr">
        <is>
          <t>中国移动</t>
        </is>
      </c>
      <c r="G56" s="5" t="inlineStr">
        <is>
          <t>持有</t>
        </is>
      </c>
      <c r="H56" s="5" t="inlineStr"/>
      <c r="I56" s="5" t="inlineStr">
        <is>
          <t>300</t>
        </is>
      </c>
      <c r="J56" s="5" t="inlineStr">
        <is>
          <t>87.7</t>
        </is>
      </c>
      <c r="K56" s="5" t="inlineStr">
        <is>
          <t>91.0237</t>
        </is>
      </c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>
        <is>
          <t>26310.0</t>
        </is>
      </c>
      <c r="U56" s="5" t="inlineStr"/>
      <c r="V56" s="5" t="inlineStr"/>
      <c r="W56" s="5" t="inlineStr"/>
      <c r="X56" s="5" t="inlineStr"/>
      <c r="Y56" s="5" t="inlineStr"/>
      <c r="Z56" s="5" t="inlineStr">
        <is>
          <t>-997.1</t>
        </is>
      </c>
      <c r="AA56" s="5" t="inlineStr">
        <is>
          <t>-3.6514</t>
        </is>
      </c>
      <c r="AB56" s="5" t="inlineStr"/>
      <c r="AC56" s="5" t="inlineStr">
        <is>
          <t>2.7087</t>
        </is>
      </c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>
        <is>
          <t>持仓中</t>
        </is>
      </c>
      <c r="AO56" s="5" t="inlineStr"/>
    </row>
    <row r="57">
      <c r="A57" s="5" t="inlineStr">
        <is>
          <t>2026-06-25</t>
        </is>
      </c>
      <c r="B57" s="5" t="inlineStr">
        <is>
          <t>2026-06-25 持仓</t>
        </is>
      </c>
      <c r="C57" s="5" t="inlineStr">
        <is>
          <t>持仓</t>
        </is>
      </c>
      <c r="D57" s="5" t="inlineStr"/>
      <c r="E57" s="5" t="inlineStr">
        <is>
          <t>688981</t>
        </is>
      </c>
      <c r="F57" s="5" t="inlineStr">
        <is>
          <t>中芯国际</t>
        </is>
      </c>
      <c r="G57" s="5" t="inlineStr">
        <is>
          <t>持有</t>
        </is>
      </c>
      <c r="H57" s="5" t="inlineStr"/>
      <c r="I57" s="5" t="inlineStr">
        <is>
          <t>300</t>
        </is>
      </c>
      <c r="J57" s="5" t="inlineStr">
        <is>
          <t>156.86</t>
        </is>
      </c>
      <c r="K57" s="5" t="inlineStr">
        <is>
          <t>145.6897</t>
        </is>
      </c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>
        <is>
          <t>47058.0</t>
        </is>
      </c>
      <c r="U57" s="5" t="inlineStr"/>
      <c r="V57" s="5" t="inlineStr"/>
      <c r="W57" s="5" t="inlineStr"/>
      <c r="X57" s="5" t="inlineStr"/>
      <c r="Y57" s="5" t="inlineStr"/>
      <c r="Z57" s="5" t="inlineStr">
        <is>
          <t>3351.09</t>
        </is>
      </c>
      <c r="AA57" s="5" t="inlineStr">
        <is>
          <t>7.6672</t>
        </is>
      </c>
      <c r="AB57" s="5" t="inlineStr"/>
      <c r="AC57" s="5" t="inlineStr">
        <is>
          <t>4.8448</t>
        </is>
      </c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>
        <is>
          <t>持仓中</t>
        </is>
      </c>
      <c r="AO57" s="5" t="inlineStr"/>
    </row>
    <row r="58">
      <c r="A58" s="2" t="inlineStr">
        <is>
          <t>2026-06-25</t>
        </is>
      </c>
      <c r="B58" s="2" t="inlineStr">
        <is>
          <t>2026-06-25 策略反馈</t>
        </is>
      </c>
      <c r="C58" s="2" t="inlineStr">
        <is>
          <t>策略反馈</t>
        </is>
      </c>
      <c r="D58" s="2" t="inlineStr">
        <is>
          <t>15:40</t>
        </is>
      </c>
      <c r="E58" s="2" t="inlineStr">
        <is>
          <t>PORTFOLIO</t>
        </is>
      </c>
      <c r="F58" s="2" t="inlineStr">
        <is>
          <t>当前6股纸面组合</t>
        </is>
      </c>
      <c r="G58" s="2" t="inlineStr">
        <is>
          <t>研究</t>
        </is>
      </c>
      <c r="H58" s="2" t="inlineStr">
        <is>
          <t>启用回测策略为纸面执行策略</t>
        </is>
      </c>
      <c r="I58" s="2" t="inlineStr">
        <is>
          <t>6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>
        <is>
          <t>OK</t>
        </is>
      </c>
      <c r="AF58" s="2" t="inlineStr">
        <is>
          <t>score-standard-v1</t>
        </is>
      </c>
      <c r="AG58" s="2" t="inlineStr">
        <is>
          <t>score-standard-v1</t>
        </is>
      </c>
      <c r="AH58" s="2" t="inlineStr">
        <is>
          <t>backtest.py T+1 daily rebalance; paper_execute exit&lt;45 reduce; entry&gt;=58 buy</t>
        </is>
      </c>
      <c r="AI58" s="2" t="inlineStr">
        <is>
          <t>回测360日：期末权益1072804.82；总收益7.2805%；最大回撤11.5975%；Sharpe0.6414；交易312次；当前回测持仓600036/600941。</t>
        </is>
      </c>
      <c r="AJ58" s="2" t="inlineStr">
        <is>
          <t>active_paper</t>
        </is>
      </c>
      <c r="AK58" s="2" t="inlineStr">
        <is>
          <t>用户明确指出可以复用回测交易策略，修正此前仅风险监控不交易的保守解释；后续纸面执行以score-standard-v1为默认。</t>
        </is>
      </c>
      <c r="AL58" s="2" t="inlineStr">
        <is>
          <t>训练/研究策略治理，不构成投资建议或真实交易授权。</t>
        </is>
      </c>
      <c r="AM58" s="2" t="inlineStr">
        <is>
          <t>2026-06-26</t>
        </is>
      </c>
      <c r="AN58" s="2" t="inlineStr">
        <is>
          <t>已完成</t>
        </is>
      </c>
      <c r="AO58" s="2" t="inlineStr">
        <is>
          <t>自动化需修复：盘后应运行paper_execute决策包；若超过交易时段，只能写TRADE_PLAN，不得倒填TRADE。</t>
        </is>
      </c>
    </row>
    <row r="59">
      <c r="A59" s="10" t="inlineStr">
        <is>
          <t>2026-06-25</t>
        </is>
      </c>
      <c r="B59" s="10" t="inlineStr">
        <is>
          <t>2026-06-25 账本审计</t>
        </is>
      </c>
      <c r="C59" s="10" t="inlineStr">
        <is>
          <t>审计发现</t>
        </is>
      </c>
      <c r="D59" s="10" t="inlineStr"/>
      <c r="E59" s="10" t="inlineStr">
        <is>
          <t>300750</t>
        </is>
      </c>
      <c r="F59" s="10" t="inlineStr"/>
      <c r="G59" s="10" t="inlineStr">
        <is>
          <t>研究</t>
        </is>
      </c>
      <c r="H59" s="10" t="inlineStr">
        <is>
          <t>审计发现</t>
        </is>
      </c>
      <c r="I59" s="10" t="inlineStr">
        <is>
          <t>30</t>
        </is>
      </c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>
        <is>
          <t>ledger-audit</t>
        </is>
      </c>
      <c r="AG59" s="10" t="inlineStr">
        <is>
          <t>ledger-audit</t>
        </is>
      </c>
      <c r="AH59" s="10" t="inlineStr"/>
      <c r="AI59" s="10" t="inlineStr"/>
      <c r="AJ59" s="10" t="inlineStr">
        <is>
          <t>needs_fix</t>
        </is>
      </c>
      <c r="AK59" s="10" t="inlineStr">
        <is>
          <t>invalid_sell_lot</t>
        </is>
      </c>
      <c r="AL59" s="10" t="inlineStr"/>
      <c r="AM59" s="10" t="inlineStr"/>
      <c r="AN59" s="10" t="inlineStr">
        <is>
          <t>失败</t>
        </is>
      </c>
      <c r="AO59" s="10" t="inlineStr">
        <is>
          <t>{"type": "invalid_sell_lot", "csv_line": 38, "date": "2026-06-24", "symbol": "300750", "quantity": 30, "remaining": 70}</t>
        </is>
      </c>
    </row>
    <row r="60">
      <c r="A60" s="10" t="inlineStr">
        <is>
          <t>2026-06-25</t>
        </is>
      </c>
      <c r="B60" s="10" t="inlineStr">
        <is>
          <t>2026-06-25 账本审计</t>
        </is>
      </c>
      <c r="C60" s="10" t="inlineStr">
        <is>
          <t>审计发现</t>
        </is>
      </c>
      <c r="D60" s="10" t="inlineStr"/>
      <c r="E60" s="10" t="inlineStr">
        <is>
          <t>300750</t>
        </is>
      </c>
      <c r="F60" s="10" t="inlineStr"/>
      <c r="G60" s="10" t="inlineStr">
        <is>
          <t>研究</t>
        </is>
      </c>
      <c r="H60" s="10" t="inlineStr">
        <is>
          <t>审计发现</t>
        </is>
      </c>
      <c r="I60" s="10" t="inlineStr">
        <is>
          <t>30</t>
        </is>
      </c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>
        <is>
          <t>ledger-audit</t>
        </is>
      </c>
      <c r="AG60" s="10" t="inlineStr">
        <is>
          <t>ledger-audit</t>
        </is>
      </c>
      <c r="AH60" s="10" t="inlineStr"/>
      <c r="AI60" s="10" t="inlineStr"/>
      <c r="AJ60" s="10" t="inlineStr">
        <is>
          <t>needs_fix</t>
        </is>
      </c>
      <c r="AK60" s="10" t="inlineStr">
        <is>
          <t>odd_lot_remainder</t>
        </is>
      </c>
      <c r="AL60" s="10" t="inlineStr"/>
      <c r="AM60" s="10" t="inlineStr"/>
      <c r="AN60" s="10" t="inlineStr">
        <is>
          <t>失败</t>
        </is>
      </c>
      <c r="AO60" s="10" t="inlineStr">
        <is>
          <t>{"type": "odd_lot_remainder", "csv_line": 38, "date": "2026-06-24", "symbol": "300750", "quantity": 30, "remaining": 70}</t>
        </is>
      </c>
    </row>
    <row r="61">
      <c r="A61" s="10" t="inlineStr">
        <is>
          <t>2026-06-25</t>
        </is>
      </c>
      <c r="B61" s="10" t="inlineStr">
        <is>
          <t>2026-06-25 账本审计</t>
        </is>
      </c>
      <c r="C61" s="10" t="inlineStr">
        <is>
          <t>审计发现</t>
        </is>
      </c>
      <c r="D61" s="10" t="inlineStr"/>
      <c r="E61" s="10" t="inlineStr">
        <is>
          <t>600519</t>
        </is>
      </c>
      <c r="F61" s="10" t="inlineStr"/>
      <c r="G61" s="10" t="inlineStr">
        <is>
          <t>研究</t>
        </is>
      </c>
      <c r="H61" s="10" t="inlineStr">
        <is>
          <t>审计发现</t>
        </is>
      </c>
      <c r="I61" s="10" t="inlineStr">
        <is>
          <t>30</t>
        </is>
      </c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>
        <is>
          <t>ledger-audit</t>
        </is>
      </c>
      <c r="AG61" s="10" t="inlineStr">
        <is>
          <t>ledger-audit</t>
        </is>
      </c>
      <c r="AH61" s="10" t="inlineStr"/>
      <c r="AI61" s="10" t="inlineStr"/>
      <c r="AJ61" s="10" t="inlineStr">
        <is>
          <t>needs_fix</t>
        </is>
      </c>
      <c r="AK61" s="10" t="inlineStr">
        <is>
          <t>invalid_sell_lot</t>
        </is>
      </c>
      <c r="AL61" s="10" t="inlineStr"/>
      <c r="AM61" s="10" t="inlineStr"/>
      <c r="AN61" s="10" t="inlineStr">
        <is>
          <t>失败</t>
        </is>
      </c>
      <c r="AO61" s="10" t="inlineStr">
        <is>
          <t>{"type": "invalid_sell_lot", "csv_line": 40, "date": "2026-06-24", "symbol": "600519", "quantity": 30, "remaining": 70}</t>
        </is>
      </c>
    </row>
    <row r="62">
      <c r="A62" s="10" t="inlineStr">
        <is>
          <t>2026-06-25</t>
        </is>
      </c>
      <c r="B62" s="10" t="inlineStr">
        <is>
          <t>2026-06-25 账本审计</t>
        </is>
      </c>
      <c r="C62" s="10" t="inlineStr">
        <is>
          <t>审计发现</t>
        </is>
      </c>
      <c r="D62" s="10" t="inlineStr"/>
      <c r="E62" s="10" t="inlineStr">
        <is>
          <t>600519</t>
        </is>
      </c>
      <c r="F62" s="10" t="inlineStr"/>
      <c r="G62" s="10" t="inlineStr">
        <is>
          <t>研究</t>
        </is>
      </c>
      <c r="H62" s="10" t="inlineStr">
        <is>
          <t>审计发现</t>
        </is>
      </c>
      <c r="I62" s="10" t="inlineStr">
        <is>
          <t>30</t>
        </is>
      </c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>
        <is>
          <t>ledger-audit</t>
        </is>
      </c>
      <c r="AG62" s="10" t="inlineStr">
        <is>
          <t>ledger-audit</t>
        </is>
      </c>
      <c r="AH62" s="10" t="inlineStr"/>
      <c r="AI62" s="10" t="inlineStr"/>
      <c r="AJ62" s="10" t="inlineStr">
        <is>
          <t>needs_fix</t>
        </is>
      </c>
      <c r="AK62" s="10" t="inlineStr">
        <is>
          <t>odd_lot_remainder</t>
        </is>
      </c>
      <c r="AL62" s="10" t="inlineStr"/>
      <c r="AM62" s="10" t="inlineStr"/>
      <c r="AN62" s="10" t="inlineStr">
        <is>
          <t>失败</t>
        </is>
      </c>
      <c r="AO62" s="10" t="inlineStr">
        <is>
          <t>{"type": "odd_lot_remainder", "csv_line": 40, "date": "2026-06-24", "symbol": "600519", "quantity": 30, "remaining": 70}</t>
        </is>
      </c>
    </row>
    <row r="63">
      <c r="A63" s="7" t="inlineStr">
        <is>
          <t>2026-06-26</t>
        </is>
      </c>
      <c r="B63" s="7" t="inlineStr">
        <is>
          <t>2026-06-26 交易</t>
        </is>
      </c>
      <c r="C63" s="7" t="inlineStr">
        <is>
          <t>成交</t>
        </is>
      </c>
      <c r="D63" s="7" t="inlineStr">
        <is>
          <t>09:30</t>
        </is>
      </c>
      <c r="E63" s="7" t="inlineStr">
        <is>
          <t>002230</t>
        </is>
      </c>
      <c r="F63" s="7" t="inlineStr">
        <is>
          <t>未知</t>
        </is>
      </c>
      <c r="G63" s="7" t="inlineStr">
        <is>
          <t>卖出</t>
        </is>
      </c>
      <c r="H63" s="7" t="inlineStr">
        <is>
          <t>卖出</t>
        </is>
      </c>
      <c r="I63" s="7" t="inlineStr">
        <is>
          <t>100</t>
        </is>
      </c>
      <c r="J63" s="7" t="inlineStr">
        <is>
          <t>40.3498</t>
        </is>
      </c>
      <c r="K63" s="7" t="inlineStr"/>
      <c r="L63" s="7" t="inlineStr">
        <is>
          <t>4034.98</t>
        </is>
      </c>
      <c r="M63" s="7" t="inlineStr">
        <is>
          <t>5.0</t>
        </is>
      </c>
      <c r="N63" s="7" t="inlineStr">
        <is>
          <t>2.02</t>
        </is>
      </c>
      <c r="O63" s="7" t="inlineStr">
        <is>
          <t>0.04</t>
        </is>
      </c>
      <c r="P63" s="7" t="inlineStr">
        <is>
          <t>7.06</t>
        </is>
      </c>
      <c r="Q63" s="7" t="inlineStr">
        <is>
          <t>4027.92</t>
        </is>
      </c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>
        <is>
          <t>score-standard-v1</t>
        </is>
      </c>
      <c r="AG63" s="7" t="inlineStr">
        <is>
          <t>score-standard-v1</t>
        </is>
      </c>
      <c r="AH63" s="7" t="inlineStr"/>
      <c r="AI63" s="7" t="inlineStr"/>
      <c r="AJ63" s="7" t="inlineStr"/>
      <c r="AK63" s="7" t="inlineStr">
        <is>
          <t>评分 38.5 低于退出阈值 45.0，按分层减仓 33% 处理</t>
        </is>
      </c>
      <c r="AL63" s="7" t="inlineStr"/>
      <c r="AM63" s="7" t="inlineStr"/>
      <c r="AN63" s="7" t="inlineStr">
        <is>
          <t>已成交</t>
        </is>
      </c>
      <c r="AO63" s="7" t="inlineStr">
        <is>
          <t>paper_execute 自动纸面执行；非真实交易</t>
        </is>
      </c>
    </row>
    <row r="64">
      <c r="A64" s="7" t="inlineStr">
        <is>
          <t>2026-06-26</t>
        </is>
      </c>
      <c r="B64" s="7" t="inlineStr">
        <is>
          <t>2026-06-26 交易</t>
        </is>
      </c>
      <c r="C64" s="7" t="inlineStr">
        <is>
          <t>成交</t>
        </is>
      </c>
      <c r="D64" s="7" t="inlineStr">
        <is>
          <t>09:30</t>
        </is>
      </c>
      <c r="E64" s="7" t="inlineStr">
        <is>
          <t>600036</t>
        </is>
      </c>
      <c r="F64" s="7" t="inlineStr">
        <is>
          <t>未知</t>
        </is>
      </c>
      <c r="G64" s="7" t="inlineStr">
        <is>
          <t>卖出</t>
        </is>
      </c>
      <c r="H64" s="7" t="inlineStr">
        <is>
          <t>卖出</t>
        </is>
      </c>
      <c r="I64" s="7" t="inlineStr">
        <is>
          <t>200</t>
        </is>
      </c>
      <c r="J64" s="7" t="inlineStr">
        <is>
          <t>36.0919</t>
        </is>
      </c>
      <c r="K64" s="7" t="inlineStr"/>
      <c r="L64" s="7" t="inlineStr">
        <is>
          <t>7218.39</t>
        </is>
      </c>
      <c r="M64" s="7" t="inlineStr">
        <is>
          <t>5.0</t>
        </is>
      </c>
      <c r="N64" s="7" t="inlineStr">
        <is>
          <t>3.61</t>
        </is>
      </c>
      <c r="O64" s="7" t="inlineStr">
        <is>
          <t>0.07</t>
        </is>
      </c>
      <c r="P64" s="7" t="inlineStr">
        <is>
          <t>8.68</t>
        </is>
      </c>
      <c r="Q64" s="7" t="inlineStr">
        <is>
          <t>7209.71</t>
        </is>
      </c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>
        <is>
          <t>score-standard-v1</t>
        </is>
      </c>
      <c r="AG64" s="7" t="inlineStr">
        <is>
          <t>score-standard-v1</t>
        </is>
      </c>
      <c r="AH64" s="7" t="inlineStr"/>
      <c r="AI64" s="7" t="inlineStr"/>
      <c r="AJ64" s="7" t="inlineStr"/>
      <c r="AK64" s="7" t="inlineStr">
        <is>
          <t>评分 42.9 低于退出阈值 45.0，按分层减仓 33% 处理</t>
        </is>
      </c>
      <c r="AL64" s="7" t="inlineStr"/>
      <c r="AM64" s="7" t="inlineStr"/>
      <c r="AN64" s="7" t="inlineStr">
        <is>
          <t>已成交</t>
        </is>
      </c>
      <c r="AO64" s="7" t="inlineStr">
        <is>
          <t>paper_execute 自动纸面执行；非真实交易</t>
        </is>
      </c>
    </row>
    <row r="65">
      <c r="A65" s="7" t="inlineStr">
        <is>
          <t>2026-06-26</t>
        </is>
      </c>
      <c r="B65" s="7" t="inlineStr">
        <is>
          <t>2026-06-26 交易</t>
        </is>
      </c>
      <c r="C65" s="7" t="inlineStr">
        <is>
          <t>成交</t>
        </is>
      </c>
      <c r="D65" s="7" t="inlineStr">
        <is>
          <t>09:30</t>
        </is>
      </c>
      <c r="E65" s="7" t="inlineStr">
        <is>
          <t>600519</t>
        </is>
      </c>
      <c r="F65" s="7" t="inlineStr">
        <is>
          <t>贵州茅台</t>
        </is>
      </c>
      <c r="G65" s="7" t="inlineStr">
        <is>
          <t>卖出</t>
        </is>
      </c>
      <c r="H65" s="7" t="inlineStr">
        <is>
          <t>卖出</t>
        </is>
      </c>
      <c r="I65" s="7" t="inlineStr">
        <is>
          <t>70</t>
        </is>
      </c>
      <c r="J65" s="7" t="inlineStr">
        <is>
          <t>1185.397</t>
        </is>
      </c>
      <c r="K65" s="7" t="inlineStr"/>
      <c r="L65" s="7" t="inlineStr">
        <is>
          <t>82977.79</t>
        </is>
      </c>
      <c r="M65" s="7" t="inlineStr">
        <is>
          <t>24.89</t>
        </is>
      </c>
      <c r="N65" s="7" t="inlineStr">
        <is>
          <t>41.49</t>
        </is>
      </c>
      <c r="O65" s="7" t="inlineStr">
        <is>
          <t>0.83</t>
        </is>
      </c>
      <c r="P65" s="7" t="inlineStr">
        <is>
          <t>67.21</t>
        </is>
      </c>
      <c r="Q65" s="7" t="inlineStr">
        <is>
          <t>82910.58</t>
        </is>
      </c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>
        <is>
          <t>score-standard-v1</t>
        </is>
      </c>
      <c r="AG65" s="7" t="inlineStr">
        <is>
          <t>score-standard-v1</t>
        </is>
      </c>
      <c r="AH65" s="7" t="inlineStr"/>
      <c r="AI65" s="7" t="inlineStr"/>
      <c r="AJ65" s="7" t="inlineStr"/>
      <c r="AK65" s="7" t="inlineStr">
        <is>
          <t>评分 38.6 低于退出阈值 45.0，按分层减仓 33% 处理</t>
        </is>
      </c>
      <c r="AL65" s="7" t="inlineStr"/>
      <c r="AM65" s="7" t="inlineStr"/>
      <c r="AN65" s="7" t="inlineStr">
        <is>
          <t>已成交</t>
        </is>
      </c>
      <c r="AO65" s="7" t="inlineStr">
        <is>
          <t>paper_execute 自动纸面执行；非真实交易</t>
        </is>
      </c>
    </row>
    <row r="66">
      <c r="A66" s="10" t="inlineStr">
        <is>
          <t>2026-06-26</t>
        </is>
      </c>
      <c r="B66" s="10" t="inlineStr">
        <is>
          <t>2026-06-26 账本审计</t>
        </is>
      </c>
      <c r="C66" s="10" t="inlineStr">
        <is>
          <t>审计发现</t>
        </is>
      </c>
      <c r="D66" s="10" t="inlineStr"/>
      <c r="E66" s="10" t="inlineStr">
        <is>
          <t>300750</t>
        </is>
      </c>
      <c r="F66" s="10" t="inlineStr"/>
      <c r="G66" s="10" t="inlineStr">
        <is>
          <t>研究</t>
        </is>
      </c>
      <c r="H66" s="10" t="inlineStr">
        <is>
          <t>审计发现</t>
        </is>
      </c>
      <c r="I66" s="10" t="inlineStr">
        <is>
          <t>30</t>
        </is>
      </c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>
        <is>
          <t>ledger-audit</t>
        </is>
      </c>
      <c r="AG66" s="10" t="inlineStr">
        <is>
          <t>ledger-audit</t>
        </is>
      </c>
      <c r="AH66" s="10" t="inlineStr"/>
      <c r="AI66" s="10" t="inlineStr"/>
      <c r="AJ66" s="10" t="inlineStr">
        <is>
          <t>needs_fix</t>
        </is>
      </c>
      <c r="AK66" s="10" t="inlineStr">
        <is>
          <t>invalid_sell_lot</t>
        </is>
      </c>
      <c r="AL66" s="10" t="inlineStr"/>
      <c r="AM66" s="10" t="inlineStr"/>
      <c r="AN66" s="10" t="inlineStr">
        <is>
          <t>失败</t>
        </is>
      </c>
      <c r="AO66" s="10" t="inlineStr">
        <is>
          <t>{"type": "invalid_sell_lot", "csv_line": 38, "date": "2026-06-24", "symbol": "300750", "quantity": 30, "remaining": 70}</t>
        </is>
      </c>
    </row>
    <row r="67">
      <c r="A67" s="10" t="inlineStr">
        <is>
          <t>2026-06-26</t>
        </is>
      </c>
      <c r="B67" s="10" t="inlineStr">
        <is>
          <t>2026-06-26 账本审计</t>
        </is>
      </c>
      <c r="C67" s="10" t="inlineStr">
        <is>
          <t>审计发现</t>
        </is>
      </c>
      <c r="D67" s="10" t="inlineStr"/>
      <c r="E67" s="10" t="inlineStr">
        <is>
          <t>300750</t>
        </is>
      </c>
      <c r="F67" s="10" t="inlineStr"/>
      <c r="G67" s="10" t="inlineStr">
        <is>
          <t>研究</t>
        </is>
      </c>
      <c r="H67" s="10" t="inlineStr">
        <is>
          <t>审计发现</t>
        </is>
      </c>
      <c r="I67" s="10" t="inlineStr">
        <is>
          <t>30</t>
        </is>
      </c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>
        <is>
          <t>ledger-audit</t>
        </is>
      </c>
      <c r="AG67" s="10" t="inlineStr">
        <is>
          <t>ledger-audit</t>
        </is>
      </c>
      <c r="AH67" s="10" t="inlineStr"/>
      <c r="AI67" s="10" t="inlineStr"/>
      <c r="AJ67" s="10" t="inlineStr">
        <is>
          <t>needs_fix</t>
        </is>
      </c>
      <c r="AK67" s="10" t="inlineStr">
        <is>
          <t>odd_lot_remainder</t>
        </is>
      </c>
      <c r="AL67" s="10" t="inlineStr"/>
      <c r="AM67" s="10" t="inlineStr"/>
      <c r="AN67" s="10" t="inlineStr">
        <is>
          <t>失败</t>
        </is>
      </c>
      <c r="AO67" s="10" t="inlineStr">
        <is>
          <t>{"type": "odd_lot_remainder", "csv_line": 38, "date": "2026-06-24", "symbol": "300750", "quantity": 30, "remaining": 70}</t>
        </is>
      </c>
    </row>
    <row r="68">
      <c r="A68" s="10" t="inlineStr">
        <is>
          <t>2026-06-26</t>
        </is>
      </c>
      <c r="B68" s="10" t="inlineStr">
        <is>
          <t>2026-06-26 账本审计</t>
        </is>
      </c>
      <c r="C68" s="10" t="inlineStr">
        <is>
          <t>审计发现</t>
        </is>
      </c>
      <c r="D68" s="10" t="inlineStr"/>
      <c r="E68" s="10" t="inlineStr">
        <is>
          <t>600519</t>
        </is>
      </c>
      <c r="F68" s="10" t="inlineStr"/>
      <c r="G68" s="10" t="inlineStr">
        <is>
          <t>研究</t>
        </is>
      </c>
      <c r="H68" s="10" t="inlineStr">
        <is>
          <t>审计发现</t>
        </is>
      </c>
      <c r="I68" s="10" t="inlineStr">
        <is>
          <t>30</t>
        </is>
      </c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>
        <is>
          <t>ledger-audit</t>
        </is>
      </c>
      <c r="AG68" s="10" t="inlineStr">
        <is>
          <t>ledger-audit</t>
        </is>
      </c>
      <c r="AH68" s="10" t="inlineStr"/>
      <c r="AI68" s="10" t="inlineStr"/>
      <c r="AJ68" s="10" t="inlineStr">
        <is>
          <t>needs_fix</t>
        </is>
      </c>
      <c r="AK68" s="10" t="inlineStr">
        <is>
          <t>invalid_sell_lot</t>
        </is>
      </c>
      <c r="AL68" s="10" t="inlineStr"/>
      <c r="AM68" s="10" t="inlineStr"/>
      <c r="AN68" s="10" t="inlineStr">
        <is>
          <t>失败</t>
        </is>
      </c>
      <c r="AO68" s="10" t="inlineStr">
        <is>
          <t>{"type": "invalid_sell_lot", "csv_line": 40, "date": "2026-06-24", "symbol": "600519", "quantity": 30, "remaining": 70}</t>
        </is>
      </c>
    </row>
    <row r="69">
      <c r="A69" s="10" t="inlineStr">
        <is>
          <t>2026-06-26</t>
        </is>
      </c>
      <c r="B69" s="10" t="inlineStr">
        <is>
          <t>2026-06-26 账本审计</t>
        </is>
      </c>
      <c r="C69" s="10" t="inlineStr">
        <is>
          <t>审计发现</t>
        </is>
      </c>
      <c r="D69" s="10" t="inlineStr"/>
      <c r="E69" s="10" t="inlineStr">
        <is>
          <t>600519</t>
        </is>
      </c>
      <c r="F69" s="10" t="inlineStr"/>
      <c r="G69" s="10" t="inlineStr">
        <is>
          <t>研究</t>
        </is>
      </c>
      <c r="H69" s="10" t="inlineStr">
        <is>
          <t>审计发现</t>
        </is>
      </c>
      <c r="I69" s="10" t="inlineStr">
        <is>
          <t>30</t>
        </is>
      </c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>
        <is>
          <t>ledger-audit</t>
        </is>
      </c>
      <c r="AG69" s="10" t="inlineStr">
        <is>
          <t>ledger-audit</t>
        </is>
      </c>
      <c r="AH69" s="10" t="inlineStr"/>
      <c r="AI69" s="10" t="inlineStr"/>
      <c r="AJ69" s="10" t="inlineStr">
        <is>
          <t>needs_fix</t>
        </is>
      </c>
      <c r="AK69" s="10" t="inlineStr">
        <is>
          <t>odd_lot_remainder</t>
        </is>
      </c>
      <c r="AL69" s="10" t="inlineStr"/>
      <c r="AM69" s="10" t="inlineStr"/>
      <c r="AN69" s="10" t="inlineStr">
        <is>
          <t>失败</t>
        </is>
      </c>
      <c r="AO69" s="10" t="inlineStr">
        <is>
          <t>{"type": "odd_lot_remainder", "csv_line": 40, "date": "2026-06-24", "symbol": "600519", "quantity": 30, "remaining": 70}</t>
        </is>
      </c>
    </row>
    <row r="70">
      <c r="A70" s="8" t="inlineStr">
        <is>
          <t>2026-06-27</t>
        </is>
      </c>
      <c r="B70" s="8" t="inlineStr">
        <is>
          <t>2026-06-27 组合汇总</t>
        </is>
      </c>
      <c r="C70" s="8" t="inlineStr">
        <is>
          <t>组合汇总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>
        <is>
          <t>841254.12</t>
        </is>
      </c>
      <c r="S70" s="8" t="inlineStr">
        <is>
          <t>126814.5</t>
        </is>
      </c>
      <c r="T70" s="8" t="inlineStr"/>
      <c r="U70" s="8" t="inlineStr">
        <is>
          <t>971318.91</t>
        </is>
      </c>
      <c r="V70" s="8" t="inlineStr">
        <is>
          <t>968068.62</t>
        </is>
      </c>
      <c r="W70" s="8" t="inlineStr">
        <is>
          <t>-3250.29</t>
        </is>
      </c>
      <c r="X70" s="8" t="inlineStr">
        <is>
          <t>-0.3346</t>
        </is>
      </c>
      <c r="Y70" s="8" t="inlineStr"/>
      <c r="Z70" s="8" t="inlineStr"/>
      <c r="AA70" s="8" t="inlineStr"/>
      <c r="AB70" s="8" t="inlineStr">
        <is>
          <t>13.0997</t>
        </is>
      </c>
      <c r="AC70" s="8" t="inlineStr"/>
      <c r="AD70" s="8" t="inlineStr">
        <is>
          <t>-3.1931</t>
        </is>
      </c>
      <c r="AE70" s="8" t="inlineStr">
        <is>
          <t>OK</t>
        </is>
      </c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>
        <is>
          <t>daily_pipeline 纸面收盘结算；非真实交易</t>
        </is>
      </c>
    </row>
    <row r="71">
      <c r="A71" s="5" t="inlineStr">
        <is>
          <t>2026-06-27</t>
        </is>
      </c>
      <c r="B71" s="5" t="inlineStr">
        <is>
          <t>2026-06-27 持仓</t>
        </is>
      </c>
      <c r="C71" s="5" t="inlineStr">
        <is>
          <t>持仓</t>
        </is>
      </c>
      <c r="D71" s="5" t="inlineStr"/>
      <c r="E71" s="5" t="inlineStr">
        <is>
          <t>002230</t>
        </is>
      </c>
      <c r="F71" s="5" t="inlineStr">
        <is>
          <t>未知</t>
        </is>
      </c>
      <c r="G71" s="5" t="inlineStr">
        <is>
          <t>持有</t>
        </is>
      </c>
      <c r="H71" s="5" t="inlineStr"/>
      <c r="I71" s="5" t="inlineStr">
        <is>
          <t>200</t>
        </is>
      </c>
      <c r="J71" s="5" t="inlineStr">
        <is>
          <t>40.37</t>
        </is>
      </c>
      <c r="K71" s="5" t="inlineStr">
        <is>
          <t>42.7184</t>
        </is>
      </c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>
        <is>
          <t>8074.0</t>
        </is>
      </c>
      <c r="U71" s="5" t="inlineStr"/>
      <c r="V71" s="5" t="inlineStr"/>
      <c r="W71" s="5" t="inlineStr"/>
      <c r="X71" s="5" t="inlineStr"/>
      <c r="Y71" s="5" t="inlineStr"/>
      <c r="Z71" s="5" t="inlineStr">
        <is>
          <t>-469.69</t>
        </is>
      </c>
      <c r="AA71" s="5" t="inlineStr">
        <is>
          <t>-5.4975</t>
        </is>
      </c>
      <c r="AB71" s="5" t="inlineStr"/>
      <c r="AC71" s="5" t="inlineStr">
        <is>
          <t>0.834</t>
        </is>
      </c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>
        <is>
          <t>持仓中</t>
        </is>
      </c>
      <c r="AO71" s="5" t="inlineStr"/>
    </row>
    <row r="72">
      <c r="A72" s="5" t="inlineStr">
        <is>
          <t>2026-06-27</t>
        </is>
      </c>
      <c r="B72" s="5" t="inlineStr">
        <is>
          <t>2026-06-27 持仓</t>
        </is>
      </c>
      <c r="C72" s="5" t="inlineStr">
        <is>
          <t>持仓</t>
        </is>
      </c>
      <c r="D72" s="5" t="inlineStr"/>
      <c r="E72" s="5" t="inlineStr">
        <is>
          <t>300750</t>
        </is>
      </c>
      <c r="F72" s="5" t="inlineStr">
        <is>
          <t>宁德时代</t>
        </is>
      </c>
      <c r="G72" s="5" t="inlineStr">
        <is>
          <t>持有</t>
        </is>
      </c>
      <c r="H72" s="5" t="inlineStr"/>
      <c r="I72" s="5" t="inlineStr">
        <is>
          <t>70</t>
        </is>
      </c>
      <c r="J72" s="5" t="inlineStr">
        <is>
          <t>400.15</t>
        </is>
      </c>
      <c r="K72" s="5" t="inlineStr">
        <is>
          <t>401.9154</t>
        </is>
      </c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>
        <is>
          <t>28010.5</t>
        </is>
      </c>
      <c r="U72" s="5" t="inlineStr"/>
      <c r="V72" s="5" t="inlineStr"/>
      <c r="W72" s="5" t="inlineStr"/>
      <c r="X72" s="5" t="inlineStr"/>
      <c r="Y72" s="5" t="inlineStr"/>
      <c r="Z72" s="5" t="inlineStr">
        <is>
          <t>-123.58</t>
        </is>
      </c>
      <c r="AA72" s="5" t="inlineStr">
        <is>
          <t>-0.4392</t>
        </is>
      </c>
      <c r="AB72" s="5" t="inlineStr"/>
      <c r="AC72" s="5" t="inlineStr">
        <is>
          <t>2.8934</t>
        </is>
      </c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>
        <is>
          <t>持仓中</t>
        </is>
      </c>
      <c r="AO72" s="5" t="inlineStr"/>
    </row>
    <row r="73">
      <c r="A73" s="5" t="inlineStr">
        <is>
          <t>2026-06-27</t>
        </is>
      </c>
      <c r="B73" s="5" t="inlineStr">
        <is>
          <t>2026-06-27 持仓</t>
        </is>
      </c>
      <c r="C73" s="5" t="inlineStr">
        <is>
          <t>持仓</t>
        </is>
      </c>
      <c r="D73" s="5" t="inlineStr"/>
      <c r="E73" s="5" t="inlineStr">
        <is>
          <t>600036</t>
        </is>
      </c>
      <c r="F73" s="5" t="inlineStr">
        <is>
          <t>未知</t>
        </is>
      </c>
      <c r="G73" s="5" t="inlineStr">
        <is>
          <t>持有</t>
        </is>
      </c>
      <c r="H73" s="5" t="inlineStr"/>
      <c r="I73" s="5" t="inlineStr">
        <is>
          <t>500</t>
        </is>
      </c>
      <c r="J73" s="5" t="inlineStr">
        <is>
          <t>36.11</t>
        </is>
      </c>
      <c r="K73" s="5" t="inlineStr">
        <is>
          <t>37.8106</t>
        </is>
      </c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>
        <is>
          <t>18055.0</t>
        </is>
      </c>
      <c r="U73" s="5" t="inlineStr"/>
      <c r="V73" s="5" t="inlineStr"/>
      <c r="W73" s="5" t="inlineStr"/>
      <c r="X73" s="5" t="inlineStr"/>
      <c r="Y73" s="5" t="inlineStr"/>
      <c r="Z73" s="5" t="inlineStr">
        <is>
          <t>-850.31</t>
        </is>
      </c>
      <c r="AA73" s="5" t="inlineStr">
        <is>
          <t>-4.4977</t>
        </is>
      </c>
      <c r="AB73" s="5" t="inlineStr"/>
      <c r="AC73" s="5" t="inlineStr">
        <is>
          <t>1.8651</t>
        </is>
      </c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>
        <is>
          <t>持仓中</t>
        </is>
      </c>
      <c r="AO73" s="5" t="inlineStr"/>
    </row>
    <row r="74">
      <c r="A74" s="5" t="inlineStr">
        <is>
          <t>2026-06-27</t>
        </is>
      </c>
      <c r="B74" s="5" t="inlineStr">
        <is>
          <t>2026-06-27 持仓</t>
        </is>
      </c>
      <c r="C74" s="5" t="inlineStr">
        <is>
          <t>持仓</t>
        </is>
      </c>
      <c r="D74" s="5" t="inlineStr"/>
      <c r="E74" s="5" t="inlineStr">
        <is>
          <t>600941</t>
        </is>
      </c>
      <c r="F74" s="5" t="inlineStr">
        <is>
          <t>中国移动</t>
        </is>
      </c>
      <c r="G74" s="5" t="inlineStr">
        <is>
          <t>持有</t>
        </is>
      </c>
      <c r="H74" s="5" t="inlineStr"/>
      <c r="I74" s="5" t="inlineStr">
        <is>
          <t>300</t>
        </is>
      </c>
      <c r="J74" s="5" t="inlineStr">
        <is>
          <t>86.7</t>
        </is>
      </c>
      <c r="K74" s="5" t="inlineStr">
        <is>
          <t>91.0237</t>
        </is>
      </c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>
        <is>
          <t>26010.0</t>
        </is>
      </c>
      <c r="U74" s="5" t="inlineStr"/>
      <c r="V74" s="5" t="inlineStr"/>
      <c r="W74" s="5" t="inlineStr"/>
      <c r="X74" s="5" t="inlineStr"/>
      <c r="Y74" s="5" t="inlineStr"/>
      <c r="Z74" s="5" t="inlineStr">
        <is>
          <t>-1297.1</t>
        </is>
      </c>
      <c r="AA74" s="5" t="inlineStr">
        <is>
          <t>-4.7501</t>
        </is>
      </c>
      <c r="AB74" s="5" t="inlineStr"/>
      <c r="AC74" s="5" t="inlineStr">
        <is>
          <t>2.6868</t>
        </is>
      </c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>
        <is>
          <t>持仓中</t>
        </is>
      </c>
      <c r="AO74" s="5" t="inlineStr"/>
    </row>
    <row r="75">
      <c r="A75" s="5" t="inlineStr">
        <is>
          <t>2026-06-27</t>
        </is>
      </c>
      <c r="B75" s="5" t="inlineStr">
        <is>
          <t>2026-06-27 持仓</t>
        </is>
      </c>
      <c r="C75" s="5" t="inlineStr">
        <is>
          <t>持仓</t>
        </is>
      </c>
      <c r="D75" s="5" t="inlineStr"/>
      <c r="E75" s="5" t="inlineStr">
        <is>
          <t>688981</t>
        </is>
      </c>
      <c r="F75" s="5" t="inlineStr">
        <is>
          <t>中芯国际</t>
        </is>
      </c>
      <c r="G75" s="5" t="inlineStr">
        <is>
          <t>持有</t>
        </is>
      </c>
      <c r="H75" s="5" t="inlineStr"/>
      <c r="I75" s="5" t="inlineStr">
        <is>
          <t>300</t>
        </is>
      </c>
      <c r="J75" s="5" t="inlineStr">
        <is>
          <t>155.55</t>
        </is>
      </c>
      <c r="K75" s="5" t="inlineStr">
        <is>
          <t>145.6897</t>
        </is>
      </c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>
        <is>
          <t>46665.0</t>
        </is>
      </c>
      <c r="U75" s="5" t="inlineStr"/>
      <c r="V75" s="5" t="inlineStr"/>
      <c r="W75" s="5" t="inlineStr"/>
      <c r="X75" s="5" t="inlineStr"/>
      <c r="Y75" s="5" t="inlineStr"/>
      <c r="Z75" s="5" t="inlineStr">
        <is>
          <t>2958.09</t>
        </is>
      </c>
      <c r="AA75" s="5" t="inlineStr">
        <is>
          <t>6.768</t>
        </is>
      </c>
      <c r="AB75" s="5" t="inlineStr"/>
      <c r="AC75" s="5" t="inlineStr">
        <is>
          <t>4.8204</t>
        </is>
      </c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>
        <is>
          <t>持仓中</t>
        </is>
      </c>
      <c r="AO75" s="5" t="inlineStr"/>
    </row>
    <row r="76">
      <c r="A76" s="10" t="inlineStr">
        <is>
          <t>2026-06-27</t>
        </is>
      </c>
      <c r="B76" s="10" t="inlineStr">
        <is>
          <t>2026-06-27 账本审计</t>
        </is>
      </c>
      <c r="C76" s="10" t="inlineStr">
        <is>
          <t>审计发现</t>
        </is>
      </c>
      <c r="D76" s="10" t="inlineStr"/>
      <c r="E76" s="10" t="inlineStr">
        <is>
          <t>600519</t>
        </is>
      </c>
      <c r="F76" s="10" t="inlineStr"/>
      <c r="G76" s="10" t="inlineStr">
        <is>
          <t>研究</t>
        </is>
      </c>
      <c r="H76" s="10" t="inlineStr">
        <is>
          <t>审计发现</t>
        </is>
      </c>
      <c r="I76" s="10" t="inlineStr">
        <is>
          <t>30</t>
        </is>
      </c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>
        <is>
          <t>ledger-audit</t>
        </is>
      </c>
      <c r="AG76" s="10" t="inlineStr">
        <is>
          <t>ledger-audit</t>
        </is>
      </c>
      <c r="AH76" s="10" t="inlineStr"/>
      <c r="AI76" s="10" t="inlineStr"/>
      <c r="AJ76" s="10" t="inlineStr">
        <is>
          <t>needs_fix</t>
        </is>
      </c>
      <c r="AK76" s="10" t="inlineStr">
        <is>
          <t>invalid_sell_lot</t>
        </is>
      </c>
      <c r="AL76" s="10" t="inlineStr"/>
      <c r="AM76" s="10" t="inlineStr"/>
      <c r="AN76" s="10" t="inlineStr">
        <is>
          <t>失败</t>
        </is>
      </c>
      <c r="AO76" s="10" t="inlineStr">
        <is>
          <t>{"type": "invalid_sell_lot", "csv_line": 40, "date": "2026-06-24", "symbol": "600519", "quantity": 30, "remaining": 70}</t>
        </is>
      </c>
    </row>
    <row r="77">
      <c r="A77" s="10" t="inlineStr">
        <is>
          <t>2026-06-27</t>
        </is>
      </c>
      <c r="B77" s="10" t="inlineStr">
        <is>
          <t>2026-06-27 账本审计</t>
        </is>
      </c>
      <c r="C77" s="10" t="inlineStr">
        <is>
          <t>审计发现</t>
        </is>
      </c>
      <c r="D77" s="10" t="inlineStr"/>
      <c r="E77" s="10" t="inlineStr">
        <is>
          <t>600519</t>
        </is>
      </c>
      <c r="F77" s="10" t="inlineStr"/>
      <c r="G77" s="10" t="inlineStr">
        <is>
          <t>研究</t>
        </is>
      </c>
      <c r="H77" s="10" t="inlineStr">
        <is>
          <t>审计发现</t>
        </is>
      </c>
      <c r="I77" s="10" t="inlineStr">
        <is>
          <t>30</t>
        </is>
      </c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0" t="inlineStr"/>
      <c r="R77" s="10" t="inlineStr"/>
      <c r="S77" s="10" t="inlineStr"/>
      <c r="T77" s="10" t="inlineStr"/>
      <c r="U77" s="10" t="inlineStr"/>
      <c r="V77" s="10" t="inlineStr"/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>
        <is>
          <t>ledger-audit</t>
        </is>
      </c>
      <c r="AG77" s="10" t="inlineStr">
        <is>
          <t>ledger-audit</t>
        </is>
      </c>
      <c r="AH77" s="10" t="inlineStr"/>
      <c r="AI77" s="10" t="inlineStr"/>
      <c r="AJ77" s="10" t="inlineStr">
        <is>
          <t>needs_fix</t>
        </is>
      </c>
      <c r="AK77" s="10" t="inlineStr">
        <is>
          <t>odd_lot_remainder</t>
        </is>
      </c>
      <c r="AL77" s="10" t="inlineStr"/>
      <c r="AM77" s="10" t="inlineStr"/>
      <c r="AN77" s="10" t="inlineStr">
        <is>
          <t>失败</t>
        </is>
      </c>
      <c r="AO77" s="10" t="inlineStr">
        <is>
          <t>{"type": "odd_lot_remainder", "csv_line": 40, "date": "2026-06-24", "symbol": "600519", "quantity": 30, "remaining": 70}</t>
        </is>
      </c>
    </row>
    <row r="78">
      <c r="A78" s="10" t="inlineStr">
        <is>
          <t>2026-06-27</t>
        </is>
      </c>
      <c r="B78" s="10" t="inlineStr">
        <is>
          <t>2026-06-27 账本审计</t>
        </is>
      </c>
      <c r="C78" s="10" t="inlineStr">
        <is>
          <t>审计发现</t>
        </is>
      </c>
      <c r="D78" s="10" t="inlineStr"/>
      <c r="E78" s="10" t="inlineStr">
        <is>
          <t>300750</t>
        </is>
      </c>
      <c r="F78" s="10" t="inlineStr"/>
      <c r="G78" s="10" t="inlineStr">
        <is>
          <t>研究</t>
        </is>
      </c>
      <c r="H78" s="10" t="inlineStr">
        <is>
          <t>审计发现</t>
        </is>
      </c>
      <c r="I78" s="10" t="inlineStr">
        <is>
          <t>30</t>
        </is>
      </c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>
        <is>
          <t>ledger-audit</t>
        </is>
      </c>
      <c r="AG78" s="10" t="inlineStr">
        <is>
          <t>ledger-audit</t>
        </is>
      </c>
      <c r="AH78" s="10" t="inlineStr"/>
      <c r="AI78" s="10" t="inlineStr"/>
      <c r="AJ78" s="10" t="inlineStr">
        <is>
          <t>needs_fix</t>
        </is>
      </c>
      <c r="AK78" s="10" t="inlineStr">
        <is>
          <t>invalid_sell_lot</t>
        </is>
      </c>
      <c r="AL78" s="10" t="inlineStr"/>
      <c r="AM78" s="10" t="inlineStr"/>
      <c r="AN78" s="10" t="inlineStr">
        <is>
          <t>失败</t>
        </is>
      </c>
      <c r="AO78" s="10" t="inlineStr">
        <is>
          <t>{"type": "invalid_sell_lot", "csv_line": 38, "date": "2026-06-24", "symbol": "300750", "quantity": 30, "remaining": 70}</t>
        </is>
      </c>
    </row>
    <row r="79">
      <c r="A79" s="10" t="inlineStr">
        <is>
          <t>2026-06-27</t>
        </is>
      </c>
      <c r="B79" s="10" t="inlineStr">
        <is>
          <t>2026-06-27 账本审计</t>
        </is>
      </c>
      <c r="C79" s="10" t="inlineStr">
        <is>
          <t>审计发现</t>
        </is>
      </c>
      <c r="D79" s="10" t="inlineStr"/>
      <c r="E79" s="10" t="inlineStr">
        <is>
          <t>300750</t>
        </is>
      </c>
      <c r="F79" s="10" t="inlineStr"/>
      <c r="G79" s="10" t="inlineStr">
        <is>
          <t>研究</t>
        </is>
      </c>
      <c r="H79" s="10" t="inlineStr">
        <is>
          <t>审计发现</t>
        </is>
      </c>
      <c r="I79" s="10" t="inlineStr">
        <is>
          <t>30</t>
        </is>
      </c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>
        <is>
          <t>ledger-audit</t>
        </is>
      </c>
      <c r="AG79" s="10" t="inlineStr">
        <is>
          <t>ledger-audit</t>
        </is>
      </c>
      <c r="AH79" s="10" t="inlineStr"/>
      <c r="AI79" s="10" t="inlineStr"/>
      <c r="AJ79" s="10" t="inlineStr">
        <is>
          <t>needs_fix</t>
        </is>
      </c>
      <c r="AK79" s="10" t="inlineStr">
        <is>
          <t>odd_lot_remainder</t>
        </is>
      </c>
      <c r="AL79" s="10" t="inlineStr"/>
      <c r="AM79" s="10" t="inlineStr"/>
      <c r="AN79" s="10" t="inlineStr">
        <is>
          <t>失败</t>
        </is>
      </c>
      <c r="AO79" s="10" t="inlineStr">
        <is>
          <t>{"type": "odd_lot_remainder", "csv_line": 38, "date": "2026-06-24", "symbol": "300750", "quantity": 30, "remaining": 70}</t>
        </is>
      </c>
    </row>
    <row r="80">
      <c r="A80" s="10" t="inlineStr">
        <is>
          <t>2026-06-29</t>
        </is>
      </c>
      <c r="B80" s="10" t="inlineStr">
        <is>
          <t>2026-06-29 账本审计</t>
        </is>
      </c>
      <c r="C80" s="10" t="inlineStr">
        <is>
          <t>审计发现</t>
        </is>
      </c>
      <c r="D80" s="10" t="inlineStr"/>
      <c r="E80" s="10" t="inlineStr">
        <is>
          <t>600519</t>
        </is>
      </c>
      <c r="F80" s="10" t="inlineStr"/>
      <c r="G80" s="10" t="inlineStr">
        <is>
          <t>研究</t>
        </is>
      </c>
      <c r="H80" s="10" t="inlineStr">
        <is>
          <t>审计发现</t>
        </is>
      </c>
      <c r="I80" s="10" t="inlineStr">
        <is>
          <t>30</t>
        </is>
      </c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>
        <is>
          <t>ledger-audit</t>
        </is>
      </c>
      <c r="AG80" s="10" t="inlineStr">
        <is>
          <t>ledger-audit</t>
        </is>
      </c>
      <c r="AH80" s="10" t="inlineStr"/>
      <c r="AI80" s="10" t="inlineStr"/>
      <c r="AJ80" s="10" t="inlineStr">
        <is>
          <t>needs_fix</t>
        </is>
      </c>
      <c r="AK80" s="10" t="inlineStr">
        <is>
          <t>invalid_sell_lot</t>
        </is>
      </c>
      <c r="AL80" s="10" t="inlineStr"/>
      <c r="AM80" s="10" t="inlineStr"/>
      <c r="AN80" s="10" t="inlineStr">
        <is>
          <t>失败</t>
        </is>
      </c>
      <c r="AO80" s="10" t="inlineStr">
        <is>
          <t>{"type": "invalid_sell_lot", "csv_line": 40, "date": "2026-06-24", "symbol": "600519", "quantity": 30, "remaining": 70}</t>
        </is>
      </c>
    </row>
    <row r="81">
      <c r="A81" s="10" t="inlineStr">
        <is>
          <t>2026-06-29</t>
        </is>
      </c>
      <c r="B81" s="10" t="inlineStr">
        <is>
          <t>2026-06-29 账本审计</t>
        </is>
      </c>
      <c r="C81" s="10" t="inlineStr">
        <is>
          <t>审计发现</t>
        </is>
      </c>
      <c r="D81" s="10" t="inlineStr"/>
      <c r="E81" s="10" t="inlineStr">
        <is>
          <t>600519</t>
        </is>
      </c>
      <c r="F81" s="10" t="inlineStr"/>
      <c r="G81" s="10" t="inlineStr">
        <is>
          <t>研究</t>
        </is>
      </c>
      <c r="H81" s="10" t="inlineStr">
        <is>
          <t>审计发现</t>
        </is>
      </c>
      <c r="I81" s="10" t="inlineStr">
        <is>
          <t>30</t>
        </is>
      </c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>
        <is>
          <t>ledger-audit</t>
        </is>
      </c>
      <c r="AG81" s="10" t="inlineStr">
        <is>
          <t>ledger-audit</t>
        </is>
      </c>
      <c r="AH81" s="10" t="inlineStr"/>
      <c r="AI81" s="10" t="inlineStr"/>
      <c r="AJ81" s="10" t="inlineStr">
        <is>
          <t>needs_fix</t>
        </is>
      </c>
      <c r="AK81" s="10" t="inlineStr">
        <is>
          <t>odd_lot_remainder</t>
        </is>
      </c>
      <c r="AL81" s="10" t="inlineStr"/>
      <c r="AM81" s="10" t="inlineStr"/>
      <c r="AN81" s="10" t="inlineStr">
        <is>
          <t>失败</t>
        </is>
      </c>
      <c r="AO81" s="10" t="inlineStr">
        <is>
          <t>{"type": "odd_lot_remainder", "csv_line": 40, "date": "2026-06-24", "symbol": "600519", "quantity": 30, "remaining": 70}</t>
        </is>
      </c>
    </row>
    <row r="82">
      <c r="A82" s="10" t="inlineStr">
        <is>
          <t>2026-06-29</t>
        </is>
      </c>
      <c r="B82" s="10" t="inlineStr">
        <is>
          <t>2026-06-29 账本审计</t>
        </is>
      </c>
      <c r="C82" s="10" t="inlineStr">
        <is>
          <t>审计发现</t>
        </is>
      </c>
      <c r="D82" s="10" t="inlineStr"/>
      <c r="E82" s="10" t="inlineStr">
        <is>
          <t>300750</t>
        </is>
      </c>
      <c r="F82" s="10" t="inlineStr"/>
      <c r="G82" s="10" t="inlineStr">
        <is>
          <t>研究</t>
        </is>
      </c>
      <c r="H82" s="10" t="inlineStr">
        <is>
          <t>审计发现</t>
        </is>
      </c>
      <c r="I82" s="10" t="inlineStr">
        <is>
          <t>30</t>
        </is>
      </c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>
        <is>
          <t>ledger-audit</t>
        </is>
      </c>
      <c r="AG82" s="10" t="inlineStr">
        <is>
          <t>ledger-audit</t>
        </is>
      </c>
      <c r="AH82" s="10" t="inlineStr"/>
      <c r="AI82" s="10" t="inlineStr"/>
      <c r="AJ82" s="10" t="inlineStr">
        <is>
          <t>needs_fix</t>
        </is>
      </c>
      <c r="AK82" s="10" t="inlineStr">
        <is>
          <t>invalid_sell_lot</t>
        </is>
      </c>
      <c r="AL82" s="10" t="inlineStr"/>
      <c r="AM82" s="10" t="inlineStr"/>
      <c r="AN82" s="10" t="inlineStr">
        <is>
          <t>失败</t>
        </is>
      </c>
      <c r="AO82" s="10" t="inlineStr">
        <is>
          <t>{"type": "invalid_sell_lot", "csv_line": 38, "date": "2026-06-24", "symbol": "300750", "quantity": 30, "remaining": 70}</t>
        </is>
      </c>
    </row>
    <row r="83">
      <c r="A83" s="10" t="inlineStr">
        <is>
          <t>2026-06-29</t>
        </is>
      </c>
      <c r="B83" s="10" t="inlineStr">
        <is>
          <t>2026-06-29 账本审计</t>
        </is>
      </c>
      <c r="C83" s="10" t="inlineStr">
        <is>
          <t>审计发现</t>
        </is>
      </c>
      <c r="D83" s="10" t="inlineStr"/>
      <c r="E83" s="10" t="inlineStr">
        <is>
          <t>300750</t>
        </is>
      </c>
      <c r="F83" s="10" t="inlineStr"/>
      <c r="G83" s="10" t="inlineStr">
        <is>
          <t>研究</t>
        </is>
      </c>
      <c r="H83" s="10" t="inlineStr">
        <is>
          <t>审计发现</t>
        </is>
      </c>
      <c r="I83" s="10" t="inlineStr">
        <is>
          <t>30</t>
        </is>
      </c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>
        <is>
          <t>ledger-audit</t>
        </is>
      </c>
      <c r="AG83" s="10" t="inlineStr">
        <is>
          <t>ledger-audit</t>
        </is>
      </c>
      <c r="AH83" s="10" t="inlineStr"/>
      <c r="AI83" s="10" t="inlineStr"/>
      <c r="AJ83" s="10" t="inlineStr">
        <is>
          <t>needs_fix</t>
        </is>
      </c>
      <c r="AK83" s="10" t="inlineStr">
        <is>
          <t>odd_lot_remainder</t>
        </is>
      </c>
      <c r="AL83" s="10" t="inlineStr"/>
      <c r="AM83" s="10" t="inlineStr"/>
      <c r="AN83" s="10" t="inlineStr">
        <is>
          <t>失败</t>
        </is>
      </c>
      <c r="AO83" s="10" t="inlineStr">
        <is>
          <t>{"type": "odd_lot_remainder", "csv_line": 38, "date": "2026-06-24", "symbol": "300750", "quantity": 30, "remaining": 70}</t>
        </is>
      </c>
    </row>
    <row r="84">
      <c r="A84" s="10" t="inlineStr">
        <is>
          <t>2026-06-30</t>
        </is>
      </c>
      <c r="B84" s="10" t="inlineStr">
        <is>
          <t>2026-06-30 账本审计</t>
        </is>
      </c>
      <c r="C84" s="10" t="inlineStr">
        <is>
          <t>审计发现</t>
        </is>
      </c>
      <c r="D84" s="10" t="inlineStr"/>
      <c r="E84" s="10" t="inlineStr">
        <is>
          <t>600519</t>
        </is>
      </c>
      <c r="F84" s="10" t="inlineStr"/>
      <c r="G84" s="10" t="inlineStr">
        <is>
          <t>研究</t>
        </is>
      </c>
      <c r="H84" s="10" t="inlineStr">
        <is>
          <t>审计发现</t>
        </is>
      </c>
      <c r="I84" s="10" t="inlineStr">
        <is>
          <t>30</t>
        </is>
      </c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>
        <is>
          <t>ledger-audit</t>
        </is>
      </c>
      <c r="AG84" s="10" t="inlineStr">
        <is>
          <t>ledger-audit</t>
        </is>
      </c>
      <c r="AH84" s="10" t="inlineStr"/>
      <c r="AI84" s="10" t="inlineStr"/>
      <c r="AJ84" s="10" t="inlineStr">
        <is>
          <t>needs_fix</t>
        </is>
      </c>
      <c r="AK84" s="10" t="inlineStr">
        <is>
          <t>invalid_sell_lot</t>
        </is>
      </c>
      <c r="AL84" s="10" t="inlineStr"/>
      <c r="AM84" s="10" t="inlineStr"/>
      <c r="AN84" s="10" t="inlineStr">
        <is>
          <t>失败</t>
        </is>
      </c>
      <c r="AO84" s="10" t="inlineStr">
        <is>
          <t>{"type": "invalid_sell_lot", "csv_line": 40, "date": "2026-06-24", "symbol": "600519", "quantity": 30, "remaining": 70}</t>
        </is>
      </c>
    </row>
    <row r="85">
      <c r="A85" s="10" t="inlineStr">
        <is>
          <t>2026-06-30</t>
        </is>
      </c>
      <c r="B85" s="10" t="inlineStr">
        <is>
          <t>2026-06-30 账本审计</t>
        </is>
      </c>
      <c r="C85" s="10" t="inlineStr">
        <is>
          <t>审计发现</t>
        </is>
      </c>
      <c r="D85" s="10" t="inlineStr"/>
      <c r="E85" s="10" t="inlineStr">
        <is>
          <t>600519</t>
        </is>
      </c>
      <c r="F85" s="10" t="inlineStr"/>
      <c r="G85" s="10" t="inlineStr">
        <is>
          <t>研究</t>
        </is>
      </c>
      <c r="H85" s="10" t="inlineStr">
        <is>
          <t>审计发现</t>
        </is>
      </c>
      <c r="I85" s="10" t="inlineStr">
        <is>
          <t>30</t>
        </is>
      </c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>
        <is>
          <t>ledger-audit</t>
        </is>
      </c>
      <c r="AG85" s="10" t="inlineStr">
        <is>
          <t>ledger-audit</t>
        </is>
      </c>
      <c r="AH85" s="10" t="inlineStr"/>
      <c r="AI85" s="10" t="inlineStr"/>
      <c r="AJ85" s="10" t="inlineStr">
        <is>
          <t>needs_fix</t>
        </is>
      </c>
      <c r="AK85" s="10" t="inlineStr">
        <is>
          <t>odd_lot_remainder</t>
        </is>
      </c>
      <c r="AL85" s="10" t="inlineStr"/>
      <c r="AM85" s="10" t="inlineStr"/>
      <c r="AN85" s="10" t="inlineStr">
        <is>
          <t>失败</t>
        </is>
      </c>
      <c r="AO85" s="10" t="inlineStr">
        <is>
          <t>{"type": "odd_lot_remainder", "csv_line": 40, "date": "2026-06-24", "symbol": "600519", "quantity": 30, "remaining": 70}</t>
        </is>
      </c>
    </row>
    <row r="86">
      <c r="A86" s="10" t="inlineStr">
        <is>
          <t>2026-06-30</t>
        </is>
      </c>
      <c r="B86" s="10" t="inlineStr">
        <is>
          <t>2026-06-30 账本审计</t>
        </is>
      </c>
      <c r="C86" s="10" t="inlineStr">
        <is>
          <t>审计发现</t>
        </is>
      </c>
      <c r="D86" s="10" t="inlineStr"/>
      <c r="E86" s="10" t="inlineStr">
        <is>
          <t>300750</t>
        </is>
      </c>
      <c r="F86" s="10" t="inlineStr"/>
      <c r="G86" s="10" t="inlineStr">
        <is>
          <t>研究</t>
        </is>
      </c>
      <c r="H86" s="10" t="inlineStr">
        <is>
          <t>审计发现</t>
        </is>
      </c>
      <c r="I86" s="10" t="inlineStr">
        <is>
          <t>30</t>
        </is>
      </c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>
        <is>
          <t>ledger-audit</t>
        </is>
      </c>
      <c r="AG86" s="10" t="inlineStr">
        <is>
          <t>ledger-audit</t>
        </is>
      </c>
      <c r="AH86" s="10" t="inlineStr"/>
      <c r="AI86" s="10" t="inlineStr"/>
      <c r="AJ86" s="10" t="inlineStr">
        <is>
          <t>needs_fix</t>
        </is>
      </c>
      <c r="AK86" s="10" t="inlineStr">
        <is>
          <t>invalid_sell_lot</t>
        </is>
      </c>
      <c r="AL86" s="10" t="inlineStr"/>
      <c r="AM86" s="10" t="inlineStr"/>
      <c r="AN86" s="10" t="inlineStr">
        <is>
          <t>失败</t>
        </is>
      </c>
      <c r="AO86" s="10" t="inlineStr">
        <is>
          <t>{"type": "invalid_sell_lot", "csv_line": 38, "date": "2026-06-24", "symbol": "300750", "quantity": 30, "remaining": 70}</t>
        </is>
      </c>
    </row>
    <row r="87">
      <c r="A87" s="10" t="inlineStr">
        <is>
          <t>2026-06-30</t>
        </is>
      </c>
      <c r="B87" s="10" t="inlineStr">
        <is>
          <t>2026-06-30 账本审计</t>
        </is>
      </c>
      <c r="C87" s="10" t="inlineStr">
        <is>
          <t>审计发现</t>
        </is>
      </c>
      <c r="D87" s="10" t="inlineStr"/>
      <c r="E87" s="10" t="inlineStr">
        <is>
          <t>300750</t>
        </is>
      </c>
      <c r="F87" s="10" t="inlineStr"/>
      <c r="G87" s="10" t="inlineStr">
        <is>
          <t>研究</t>
        </is>
      </c>
      <c r="H87" s="10" t="inlineStr">
        <is>
          <t>审计发现</t>
        </is>
      </c>
      <c r="I87" s="10" t="inlineStr">
        <is>
          <t>30</t>
        </is>
      </c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>
        <is>
          <t>ledger-audit</t>
        </is>
      </c>
      <c r="AG87" s="10" t="inlineStr">
        <is>
          <t>ledger-audit</t>
        </is>
      </c>
      <c r="AH87" s="10" t="inlineStr"/>
      <c r="AI87" s="10" t="inlineStr"/>
      <c r="AJ87" s="10" t="inlineStr">
        <is>
          <t>needs_fix</t>
        </is>
      </c>
      <c r="AK87" s="10" t="inlineStr">
        <is>
          <t>odd_lot_remainder</t>
        </is>
      </c>
      <c r="AL87" s="10" t="inlineStr"/>
      <c r="AM87" s="10" t="inlineStr"/>
      <c r="AN87" s="10" t="inlineStr">
        <is>
          <t>失败</t>
        </is>
      </c>
      <c r="AO87" s="10" t="inlineStr">
        <is>
          <t>{"type": "odd_lot_remainder", "csv_line": 38, "date": "2026-06-24", "symbol": "300750", "quantity": 30, "remaining": 70}</t>
        </is>
      </c>
    </row>
    <row r="88">
      <c r="A88" s="7" t="inlineStr">
        <is>
          <t>2026-06-30</t>
        </is>
      </c>
      <c r="B88" s="7" t="inlineStr">
        <is>
          <t>2026-06-30 交易</t>
        </is>
      </c>
      <c r="C88" s="7" t="inlineStr">
        <is>
          <t>成交</t>
        </is>
      </c>
      <c r="D88" s="7" t="inlineStr">
        <is>
          <t>09:30</t>
        </is>
      </c>
      <c r="E88" s="7" t="inlineStr">
        <is>
          <t>002230</t>
        </is>
      </c>
      <c r="F88" s="7" t="inlineStr">
        <is>
          <t>未知</t>
        </is>
      </c>
      <c r="G88" s="7" t="inlineStr">
        <is>
          <t>卖出</t>
        </is>
      </c>
      <c r="H88" s="7" t="inlineStr">
        <is>
          <t>卖出</t>
        </is>
      </c>
      <c r="I88" s="7" t="inlineStr">
        <is>
          <t>100</t>
        </is>
      </c>
      <c r="J88" s="7" t="inlineStr">
        <is>
          <t>40.5097</t>
        </is>
      </c>
      <c r="K88" s="7" t="inlineStr"/>
      <c r="L88" s="7" t="inlineStr">
        <is>
          <t>4050.97</t>
        </is>
      </c>
      <c r="M88" s="7" t="inlineStr">
        <is>
          <t>5.0</t>
        </is>
      </c>
      <c r="N88" s="7" t="inlineStr">
        <is>
          <t>2.03</t>
        </is>
      </c>
      <c r="O88" s="7" t="inlineStr">
        <is>
          <t>0.04</t>
        </is>
      </c>
      <c r="P88" s="7" t="inlineStr">
        <is>
          <t>7.07</t>
        </is>
      </c>
      <c r="Q88" s="7" t="inlineStr">
        <is>
          <t>4043.91</t>
        </is>
      </c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>
        <is>
          <t>score-standard-v1</t>
        </is>
      </c>
      <c r="AG88" s="7" t="inlineStr">
        <is>
          <t>score-standard-v1</t>
        </is>
      </c>
      <c r="AH88" s="7" t="inlineStr"/>
      <c r="AI88" s="7" t="inlineStr"/>
      <c r="AJ88" s="7" t="inlineStr"/>
      <c r="AK88" s="7" t="inlineStr">
        <is>
          <t>评分 30.5 低于退出阈值 45.0，按分层减仓 33% 处理</t>
        </is>
      </c>
      <c r="AL88" s="7" t="inlineStr"/>
      <c r="AM88" s="7" t="inlineStr"/>
      <c r="AN88" s="7" t="inlineStr">
        <is>
          <t>已成交</t>
        </is>
      </c>
      <c r="AO88" s="7" t="inlineStr">
        <is>
          <t>paper_execute 自动纸面执行；非真实交易</t>
        </is>
      </c>
    </row>
    <row r="89">
      <c r="A89" s="7" t="inlineStr">
        <is>
          <t>2026-06-30</t>
        </is>
      </c>
      <c r="B89" s="7" t="inlineStr">
        <is>
          <t>2026-06-30 交易</t>
        </is>
      </c>
      <c r="C89" s="7" t="inlineStr">
        <is>
          <t>成交</t>
        </is>
      </c>
      <c r="D89" s="7" t="inlineStr">
        <is>
          <t>09:30</t>
        </is>
      </c>
      <c r="E89" s="7" t="inlineStr">
        <is>
          <t>300750</t>
        </is>
      </c>
      <c r="F89" s="7" t="inlineStr">
        <is>
          <t>宁德时代</t>
        </is>
      </c>
      <c r="G89" s="7" t="inlineStr">
        <is>
          <t>卖出</t>
        </is>
      </c>
      <c r="H89" s="7" t="inlineStr">
        <is>
          <t>卖出</t>
        </is>
      </c>
      <c r="I89" s="7" t="inlineStr">
        <is>
          <t>70</t>
        </is>
      </c>
      <c r="J89" s="7" t="inlineStr">
        <is>
          <t>392.1738</t>
        </is>
      </c>
      <c r="K89" s="7" t="inlineStr"/>
      <c r="L89" s="7" t="inlineStr">
        <is>
          <t>27452.17</t>
        </is>
      </c>
      <c r="M89" s="7" t="inlineStr">
        <is>
          <t>8.24</t>
        </is>
      </c>
      <c r="N89" s="7" t="inlineStr">
        <is>
          <t>13.73</t>
        </is>
      </c>
      <c r="O89" s="7" t="inlineStr">
        <is>
          <t>0.27</t>
        </is>
      </c>
      <c r="P89" s="7" t="inlineStr">
        <is>
          <t>22.24</t>
        </is>
      </c>
      <c r="Q89" s="7" t="inlineStr">
        <is>
          <t>27429.93</t>
        </is>
      </c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>
        <is>
          <t>score-standard-v1</t>
        </is>
      </c>
      <c r="AG89" s="7" t="inlineStr">
        <is>
          <t>score-standard-v1</t>
        </is>
      </c>
      <c r="AH89" s="7" t="inlineStr"/>
      <c r="AI89" s="7" t="inlineStr"/>
      <c r="AJ89" s="7" t="inlineStr"/>
      <c r="AK89" s="7" t="inlineStr">
        <is>
          <t>评分 28.2 低于退出阈值 45.0，按分层减仓 33% 处理</t>
        </is>
      </c>
      <c r="AL89" s="7" t="inlineStr"/>
      <c r="AM89" s="7" t="inlineStr"/>
      <c r="AN89" s="7" t="inlineStr">
        <is>
          <t>已成交</t>
        </is>
      </c>
      <c r="AO89" s="7" t="inlineStr">
        <is>
          <t>paper_execute 自动纸面执行；非真实交易</t>
        </is>
      </c>
    </row>
    <row r="90">
      <c r="A90" s="7" t="inlineStr">
        <is>
          <t>2026-06-30</t>
        </is>
      </c>
      <c r="B90" s="7" t="inlineStr">
        <is>
          <t>2026-06-30 交易</t>
        </is>
      </c>
      <c r="C90" s="7" t="inlineStr">
        <is>
          <t>成交</t>
        </is>
      </c>
      <c r="D90" s="7" t="inlineStr">
        <is>
          <t>09:30</t>
        </is>
      </c>
      <c r="E90" s="7" t="inlineStr">
        <is>
          <t>600036</t>
        </is>
      </c>
      <c r="F90" s="7" t="inlineStr">
        <is>
          <t>未知</t>
        </is>
      </c>
      <c r="G90" s="7" t="inlineStr">
        <is>
          <t>卖出</t>
        </is>
      </c>
      <c r="H90" s="7" t="inlineStr">
        <is>
          <t>卖出</t>
        </is>
      </c>
      <c r="I90" s="7" t="inlineStr">
        <is>
          <t>100</t>
        </is>
      </c>
      <c r="J90" s="7" t="inlineStr">
        <is>
          <t>35.912</t>
        </is>
      </c>
      <c r="K90" s="7" t="inlineStr"/>
      <c r="L90" s="7" t="inlineStr">
        <is>
          <t>3591.2</t>
        </is>
      </c>
      <c r="M90" s="7" t="inlineStr">
        <is>
          <t>5.0</t>
        </is>
      </c>
      <c r="N90" s="7" t="inlineStr">
        <is>
          <t>1.8</t>
        </is>
      </c>
      <c r="O90" s="7" t="inlineStr">
        <is>
          <t>0.04</t>
        </is>
      </c>
      <c r="P90" s="7" t="inlineStr">
        <is>
          <t>6.83</t>
        </is>
      </c>
      <c r="Q90" s="7" t="inlineStr">
        <is>
          <t>3584.37</t>
        </is>
      </c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>
        <is>
          <t>score-standard-v1</t>
        </is>
      </c>
      <c r="AG90" s="7" t="inlineStr">
        <is>
          <t>score-standard-v1</t>
        </is>
      </c>
      <c r="AH90" s="7" t="inlineStr"/>
      <c r="AI90" s="7" t="inlineStr"/>
      <c r="AJ90" s="7" t="inlineStr"/>
      <c r="AK90" s="7" t="inlineStr">
        <is>
          <t>评分 42.6 低于退出阈值 45.0，按分层减仓 33% 处理</t>
        </is>
      </c>
      <c r="AL90" s="7" t="inlineStr"/>
      <c r="AM90" s="7" t="inlineStr"/>
      <c r="AN90" s="7" t="inlineStr">
        <is>
          <t>已成交</t>
        </is>
      </c>
      <c r="AO90" s="7" t="inlineStr">
        <is>
          <t>paper_execute 自动纸面执行；非真实交易</t>
        </is>
      </c>
    </row>
    <row r="91">
      <c r="A91" s="3" t="inlineStr">
        <is>
          <t>2026-06-30</t>
        </is>
      </c>
      <c r="B91" s="3" t="inlineStr">
        <is>
          <t>2026-06-30 深圳实习生选股计划</t>
        </is>
      </c>
      <c r="C91" s="3" t="inlineStr">
        <is>
          <t>交易计划</t>
        </is>
      </c>
      <c r="D91" s="3" t="inlineStr">
        <is>
          <t>10:02</t>
        </is>
      </c>
      <c r="E91" s="3" t="inlineStr">
        <is>
          <t>603019</t>
        </is>
      </c>
      <c r="F91" s="3" t="inlineStr">
        <is>
          <t>中科曙光</t>
        </is>
      </c>
      <c r="G91" s="3" t="inlineStr">
        <is>
          <t>买入</t>
        </is>
      </c>
      <c r="H91" s="3" t="inlineStr">
        <is>
          <t>深圳实习生选股观察计划</t>
        </is>
      </c>
      <c r="I91" s="3" t="inlineStr"/>
      <c r="J91" s="3" t="inlineStr">
        <is>
          <t>104.87</t>
        </is>
      </c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>
        <is>
          <t>shenzhen-intern-trail-v1</t>
        </is>
      </c>
      <c r="AG91" s="3" t="inlineStr">
        <is>
          <t>shenzhen-intern-trail-v1</t>
        </is>
      </c>
      <c r="AH91" s="3" t="inlineStr">
        <is>
          <t>Shenzhen intern trail: news + technical + volume + dragon-two plan</t>
        </is>
      </c>
      <c r="AI91" s="3" t="inlineStr">
        <is>
          <t>{"board_chase_max_pct": 8.0, "board_chase_min_pct": 7.0, "large_order_ratio_min": 0.12, "main_force_net_min": 0.0, "news_hot_score": 1.0, "volume_burst_multiple": 1.8}</t>
        </is>
      </c>
      <c r="AJ91" s="3" t="inlineStr">
        <is>
          <t>PASS</t>
        </is>
      </c>
      <c r="AK91" s="3" t="inlineStr">
        <is>
          <t>同板块已有涨停个股，龙二跟随：A类突破买点; 新闻热度 3.0; 通过：量能4/11/117多头排列，股价均线多头排列 (MA5&gt;MA10&gt;MA20)，大单占比 15.8%</t>
        </is>
      </c>
      <c r="AL91" s="3" t="inlineStr">
        <is>
          <t>trigger=A_BREAKOUT；leader_rank=2；pct_change_at_plan=7.26</t>
        </is>
      </c>
      <c r="AM91" s="3" t="inlineStr">
        <is>
          <t>2026-06-30</t>
        </is>
      </c>
      <c r="AN91" s="3" t="inlineStr">
        <is>
          <t>待处理</t>
        </is>
      </c>
      <c r="AO91" s="3" t="inlineStr">
        <is>
          <t>研究计划，不自动下单；需复核涨跌停、T+1、盘口撤单和当日公告风险。；source=Shenzhen intern trail/runs/latest.json; production_note=Production scan used real adapters; data/examples are not used.; 仅导入为TRADE_PLAN，不自动成交。</t>
        </is>
      </c>
    </row>
  </sheetData>
  <autoFilter ref="A1:AO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8" customWidth="1" min="3" max="3"/>
  </cols>
  <sheetData>
    <row r="1">
      <c r="A1" s="11" t="inlineStr">
        <is>
          <t>config_key</t>
        </is>
      </c>
      <c r="B1" s="12" t="inlineStr">
        <is>
          <t>config_value</t>
        </is>
      </c>
      <c r="C1" s="11" t="inlineStr">
        <is>
          <t>description</t>
        </is>
      </c>
    </row>
    <row r="2">
      <c r="A2" s="13" t="inlineStr">
        <is>
          <t>INITIAL_CAPITAL</t>
        </is>
      </c>
      <c r="B2" s="14" t="n">
        <v>1000000</v>
      </c>
      <c r="C2" s="13" t="inlineStr">
        <is>
          <t>初始训练资金</t>
        </is>
      </c>
    </row>
    <row r="3">
      <c r="A3" s="13" t="inlineStr">
        <is>
          <t>MAX_DRAWDOWN_STOP</t>
        </is>
      </c>
      <c r="B3" s="14" t="n">
        <v>0.05</v>
      </c>
      <c r="C3" s="13" t="inlineStr">
        <is>
          <t>触发 STOP 的当前回撤阈值</t>
        </is>
      </c>
    </row>
    <row r="4">
      <c r="A4" s="13" t="inlineStr">
        <is>
          <t>MAX_DRAWDOWN_WARNING</t>
        </is>
      </c>
      <c r="B4" s="14" t="n">
        <v>0.03</v>
      </c>
      <c r="C4" s="13" t="inlineStr">
        <is>
          <t>触发 WARNING 的当前回撤阈值</t>
        </is>
      </c>
    </row>
    <row r="5">
      <c r="A5" s="13" t="inlineStr">
        <is>
          <t>DEFAULT_COMMISSION_RATE</t>
        </is>
      </c>
      <c r="B5" s="14" t="n">
        <v>0.0003</v>
      </c>
      <c r="C5" s="13" t="inlineStr">
        <is>
          <t>默认佣金率</t>
        </is>
      </c>
    </row>
    <row r="6">
      <c r="A6" s="13" t="inlineStr">
        <is>
          <t>DEFAULT_STAMP_TAX_RATE</t>
        </is>
      </c>
      <c r="B6" s="14" t="n">
        <v>0.0005</v>
      </c>
      <c r="C6" s="13" t="inlineStr">
        <is>
          <t>当前账本卖出印花税率</t>
        </is>
      </c>
    </row>
    <row r="7">
      <c r="A7" s="13" t="inlineStr">
        <is>
          <t>DEFAULT_TRANSFER_RATE</t>
        </is>
      </c>
      <c r="B7" s="14" t="n">
        <v>1e-05</v>
      </c>
      <c r="C7" s="13" t="inlineStr">
        <is>
          <t>过户/经手费率占位</t>
        </is>
      </c>
    </row>
    <row r="8">
      <c r="A8" s="13" t="inlineStr">
        <is>
          <t>MIN_TRADE_LOT</t>
        </is>
      </c>
      <c r="B8" s="14" t="n">
        <v>100</v>
      </c>
      <c r="C8" s="13" t="inlineStr">
        <is>
          <t>A股最小交易单位</t>
        </is>
      </c>
    </row>
    <row r="9">
      <c r="A9" s="13" t="inlineStr">
        <is>
          <t>ODD_LOT_ALLOWED</t>
        </is>
      </c>
      <c r="B9" s="14" t="b">
        <v>0</v>
      </c>
      <c r="C9" s="13" t="inlineStr">
        <is>
          <t>是否允许卖出制造零股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22" customWidth="1" min="12" max="12"/>
    <col width="12" customWidth="1" min="13" max="13"/>
    <col width="42" customWidth="1" min="14" max="14"/>
    <col width="16" customWidth="1" min="15" max="15"/>
    <col width="18" customWidth="1" min="16" max="16"/>
  </cols>
  <sheetData>
    <row r="1">
      <c r="A1" s="15" t="inlineStr">
        <is>
          <t>order_id</t>
        </is>
      </c>
      <c r="B1" s="15" t="inlineStr">
        <is>
          <t>trade_date</t>
        </is>
      </c>
      <c r="C1" s="15" t="inlineStr">
        <is>
          <t>symbol</t>
        </is>
      </c>
      <c r="D1" s="15" t="inlineStr">
        <is>
          <t>name</t>
        </is>
      </c>
      <c r="E1" s="15" t="inlineStr">
        <is>
          <t>side</t>
        </is>
      </c>
      <c r="F1" s="15" t="inlineStr">
        <is>
          <t>order_type</t>
        </is>
      </c>
      <c r="G1" s="15" t="inlineStr">
        <is>
          <t>quantity</t>
        </is>
      </c>
      <c r="H1" s="15" t="inlineStr">
        <is>
          <t>limit_price</t>
        </is>
      </c>
      <c r="I1" s="15" t="inlineStr">
        <is>
          <t>exec_price</t>
        </is>
      </c>
      <c r="J1" s="15" t="inlineStr">
        <is>
          <t>exec_time</t>
        </is>
      </c>
      <c r="K1" s="15" t="inlineStr">
        <is>
          <t>status</t>
        </is>
      </c>
      <c r="L1" s="15" t="inlineStr">
        <is>
          <t>strategy_id</t>
        </is>
      </c>
      <c r="M1" s="15" t="inlineStr">
        <is>
          <t>signal_score</t>
        </is>
      </c>
      <c r="N1" s="15" t="inlineStr">
        <is>
          <t>reason</t>
        </is>
      </c>
      <c r="O1" s="15" t="inlineStr">
        <is>
          <t>plan_id</t>
        </is>
      </c>
      <c r="P1" s="15" t="inlineStr">
        <is>
          <t>created_at</t>
        </is>
      </c>
    </row>
    <row r="2">
      <c r="A2" s="13" t="inlineStr">
        <is>
          <t>T20260623001</t>
        </is>
      </c>
      <c r="B2" s="16" t="inlineStr">
        <is>
          <t>2026-06-23</t>
        </is>
      </c>
      <c r="C2" s="13" t="inlineStr">
        <is>
          <t>002230</t>
        </is>
      </c>
      <c r="D2" s="13" t="inlineStr">
        <is>
          <t>科大讯飞</t>
        </is>
      </c>
      <c r="E2" s="13" t="inlineStr">
        <is>
          <t>BUY</t>
        </is>
      </c>
      <c r="F2" s="13" t="inlineStr">
        <is>
          <t>LIMIT</t>
        </is>
      </c>
      <c r="G2" s="17" t="n">
        <v>300</v>
      </c>
      <c r="H2" s="18" t="n">
        <v>42.7013</v>
      </c>
      <c r="I2" s="18" t="n">
        <v>42.7013</v>
      </c>
      <c r="J2" s="13" t="inlineStr">
        <is>
          <t>13:04</t>
        </is>
      </c>
      <c r="K2" s="13" t="inlineStr">
        <is>
          <t>FILLED</t>
        </is>
      </c>
      <c r="L2" s="13" t="inlineStr">
        <is>
          <t>diversified-paper-6-ai-v1</t>
        </is>
      </c>
      <c r="M2" s="19" t="n"/>
      <c r="N2" s="13" t="inlineStr">
        <is>
          <t>按用户要求新增AI科技股；系统风控提示高风险观察，因此仅小仓纸面训练买入</t>
        </is>
      </c>
      <c r="O2" s="13" t="inlineStr"/>
      <c r="P2" s="20" t="inlineStr">
        <is>
          <t>2026-06-23 13:04</t>
        </is>
      </c>
    </row>
    <row r="3">
      <c r="A3" s="13" t="inlineStr">
        <is>
          <t>T20260623002</t>
        </is>
      </c>
      <c r="B3" s="16" t="inlineStr">
        <is>
          <t>2026-06-23</t>
        </is>
      </c>
      <c r="C3" s="13" t="inlineStr">
        <is>
          <t>300750</t>
        </is>
      </c>
      <c r="D3" s="13" t="inlineStr">
        <is>
          <t>宁德时代</t>
        </is>
      </c>
      <c r="E3" s="13" t="inlineStr">
        <is>
          <t>BUY</t>
        </is>
      </c>
      <c r="F3" s="13" t="inlineStr">
        <is>
          <t>LIMIT</t>
        </is>
      </c>
      <c r="G3" s="17" t="n">
        <v>100</v>
      </c>
      <c r="H3" s="18" t="n">
        <v>401.7908</v>
      </c>
      <c r="I3" s="18" t="n">
        <v>401.7908</v>
      </c>
      <c r="J3" s="13" t="inlineStr">
        <is>
          <t>13:00</t>
        </is>
      </c>
      <c r="K3" s="13" t="inlineStr">
        <is>
          <t>FILLED</t>
        </is>
      </c>
      <c r="L3" s="13" t="inlineStr">
        <is>
          <t>diversified-paper-5-v1</t>
        </is>
      </c>
      <c r="M3" s="19" t="n"/>
      <c r="N3" s="13" t="inlineStr">
        <is>
          <t>补足至少5只纸面持仓：新能源类别，小仓训练；系统评分偏弱，仅做分散组合训练</t>
        </is>
      </c>
      <c r="O3" s="13" t="inlineStr"/>
      <c r="P3" s="20" t="inlineStr">
        <is>
          <t>2026-06-23 13:00</t>
        </is>
      </c>
    </row>
    <row r="4">
      <c r="A4" s="13" t="inlineStr">
        <is>
          <t>T20260623003</t>
        </is>
      </c>
      <c r="B4" s="16" t="inlineStr">
        <is>
          <t>2026-06-23</t>
        </is>
      </c>
      <c r="C4" s="13" t="inlineStr">
        <is>
          <t>600036</t>
        </is>
      </c>
      <c r="D4" s="13" t="inlineStr">
        <is>
          <t>招商银行</t>
        </is>
      </c>
      <c r="E4" s="13" t="inlineStr">
        <is>
          <t>BUY</t>
        </is>
      </c>
      <c r="F4" s="13" t="inlineStr">
        <is>
          <t>LIMIT</t>
        </is>
      </c>
      <c r="G4" s="17" t="n">
        <v>1000</v>
      </c>
      <c r="H4" s="18" t="n">
        <v>37.7989</v>
      </c>
      <c r="I4" s="18" t="n">
        <v>37.7989</v>
      </c>
      <c r="J4" s="13" t="inlineStr">
        <is>
          <t>13:01</t>
        </is>
      </c>
      <c r="K4" s="13" t="inlineStr">
        <is>
          <t>FILLED</t>
        </is>
      </c>
      <c r="L4" s="13" t="inlineStr">
        <is>
          <t>diversified-paper-5-v1</t>
        </is>
      </c>
      <c r="M4" s="19" t="n"/>
      <c r="N4" s="13" t="inlineStr">
        <is>
          <t>补足至少5只纸面持仓：银行类别，低波动样本，小仓训练</t>
        </is>
      </c>
      <c r="O4" s="13" t="inlineStr"/>
      <c r="P4" s="20" t="inlineStr">
        <is>
          <t>2026-06-23 13:01</t>
        </is>
      </c>
    </row>
    <row r="5">
      <c r="A5" s="13" t="inlineStr">
        <is>
          <t>T20260623004</t>
        </is>
      </c>
      <c r="B5" s="16" t="inlineStr">
        <is>
          <t>2026-06-23</t>
        </is>
      </c>
      <c r="C5" s="13" t="inlineStr">
        <is>
          <t>600941</t>
        </is>
      </c>
      <c r="D5" s="13" t="inlineStr">
        <is>
          <t>中国移动</t>
        </is>
      </c>
      <c r="E5" s="13" t="inlineStr">
        <is>
          <t>BUY</t>
        </is>
      </c>
      <c r="F5" s="13" t="inlineStr">
        <is>
          <t>LIMIT</t>
        </is>
      </c>
      <c r="G5" s="17" t="n">
        <v>400</v>
      </c>
      <c r="H5" s="18" t="n">
        <v>90.99550000000001</v>
      </c>
      <c r="I5" s="18" t="n">
        <v>90.99550000000001</v>
      </c>
      <c r="J5" s="13" t="inlineStr">
        <is>
          <t>13:03</t>
        </is>
      </c>
      <c r="K5" s="13" t="inlineStr">
        <is>
          <t>FILLED</t>
        </is>
      </c>
      <c r="L5" s="13" t="inlineStr">
        <is>
          <t>diversified-paper-5-v1</t>
        </is>
      </c>
      <c r="M5" s="19" t="n"/>
      <c r="N5" s="13" t="inlineStr">
        <is>
          <t>补足至少5只纸面持仓：通信运营商类别，防守样本，小仓训练</t>
        </is>
      </c>
      <c r="O5" s="13" t="inlineStr"/>
      <c r="P5" s="20" t="inlineStr">
        <is>
          <t>2026-06-23 13:03</t>
        </is>
      </c>
    </row>
    <row r="6">
      <c r="A6" s="13" t="inlineStr">
        <is>
          <t>T20260623005</t>
        </is>
      </c>
      <c r="B6" s="16" t="inlineStr">
        <is>
          <t>2026-06-23</t>
        </is>
      </c>
      <c r="C6" s="13" t="inlineStr">
        <is>
          <t>688981</t>
        </is>
      </c>
      <c r="D6" s="13" t="inlineStr">
        <is>
          <t>中芯国际</t>
        </is>
      </c>
      <c r="E6" s="13" t="inlineStr">
        <is>
          <t>BUY</t>
        </is>
      </c>
      <c r="F6" s="13" t="inlineStr">
        <is>
          <t>LIMIT</t>
        </is>
      </c>
      <c r="G6" s="17" t="n">
        <v>200</v>
      </c>
      <c r="H6" s="18" t="n">
        <v>144.092</v>
      </c>
      <c r="I6" s="18" t="n">
        <v>144.092</v>
      </c>
      <c r="J6" s="13" t="inlineStr">
        <is>
          <t>13:02</t>
        </is>
      </c>
      <c r="K6" s="13" t="inlineStr">
        <is>
          <t>FILLED</t>
        </is>
      </c>
      <c r="L6" s="13" t="inlineStr">
        <is>
          <t>diversified-paper-5-v1</t>
        </is>
      </c>
      <c r="M6" s="19" t="n"/>
      <c r="N6" s="13" t="inlineStr">
        <is>
          <t>补足至少5只纸面持仓：半导体硬科技类别，复权一致性保守，小仓训练</t>
        </is>
      </c>
      <c r="O6" s="13" t="inlineStr"/>
      <c r="P6" s="20" t="inlineStr">
        <is>
          <t>2026-06-23 13:02</t>
        </is>
      </c>
    </row>
    <row r="7">
      <c r="A7" s="13" t="inlineStr">
        <is>
          <t>T20260624006</t>
        </is>
      </c>
      <c r="B7" s="16" t="inlineStr">
        <is>
          <t>2026-06-24</t>
        </is>
      </c>
      <c r="C7" s="13" t="inlineStr">
        <is>
          <t>300750</t>
        </is>
      </c>
      <c r="D7" s="13" t="inlineStr">
        <is>
          <t>宁德时代</t>
        </is>
      </c>
      <c r="E7" s="13" t="inlineStr">
        <is>
          <t>SELL</t>
        </is>
      </c>
      <c r="F7" s="13" t="inlineStr">
        <is>
          <t>STOP</t>
        </is>
      </c>
      <c r="G7" s="17" t="n">
        <v>30</v>
      </c>
      <c r="H7" s="18" t="n"/>
      <c r="I7" s="18" t="n">
        <v>389.755</v>
      </c>
      <c r="J7" s="13" t="inlineStr">
        <is>
          <t>10:07</t>
        </is>
      </c>
      <c r="K7" s="13" t="inlineStr">
        <is>
          <t>FILLED</t>
        </is>
      </c>
      <c r="L7" s="13" t="inlineStr">
        <is>
          <t>continue-frequency-20260624-v1</t>
        </is>
      </c>
      <c r="M7" s="19" t="n">
        <v>36.6</v>
      </c>
      <c r="N7" s="13" t="inlineStr">
        <is>
          <t>按用户要求延续昨日交易频次；300750评分36.6、弱于MA20/MA60，纸面减仓验证止损纪律</t>
        </is>
      </c>
      <c r="O7" s="13" t="inlineStr"/>
      <c r="P7" s="20" t="inlineStr">
        <is>
          <t>2026-06-24 10:07</t>
        </is>
      </c>
    </row>
    <row r="8">
      <c r="A8" s="13" t="inlineStr">
        <is>
          <t>T20260624007</t>
        </is>
      </c>
      <c r="B8" s="16" t="inlineStr">
        <is>
          <t>2026-06-24</t>
        </is>
      </c>
      <c r="C8" s="13" t="inlineStr">
        <is>
          <t>600036</t>
        </is>
      </c>
      <c r="D8" s="13" t="inlineStr">
        <is>
          <t>招商银行</t>
        </is>
      </c>
      <c r="E8" s="13" t="inlineStr">
        <is>
          <t>SELL</t>
        </is>
      </c>
      <c r="F8" s="13" t="inlineStr">
        <is>
          <t>LIMIT</t>
        </is>
      </c>
      <c r="G8" s="17" t="n">
        <v>300</v>
      </c>
      <c r="H8" s="18" t="n"/>
      <c r="I8" s="18" t="n">
        <v>37.0815</v>
      </c>
      <c r="J8" s="13" t="inlineStr">
        <is>
          <t>10:08</t>
        </is>
      </c>
      <c r="K8" s="13" t="inlineStr">
        <is>
          <t>FILLED</t>
        </is>
      </c>
      <c r="L8" s="13" t="inlineStr">
        <is>
          <t>continue-frequency-20260624-v1</t>
        </is>
      </c>
      <c r="M8" s="19" t="n"/>
      <c r="N8" s="13" t="inlineStr">
        <is>
          <t>按用户要求延续昨日交易频次；600036早盘-0.80%且弱于今开，低波动样本纸面降仓</t>
        </is>
      </c>
      <c r="O8" s="13" t="inlineStr"/>
      <c r="P8" s="20" t="inlineStr">
        <is>
          <t>2026-06-24 10:08</t>
        </is>
      </c>
    </row>
    <row r="9">
      <c r="A9" s="13" t="inlineStr">
        <is>
          <t>T20260624008</t>
        </is>
      </c>
      <c r="B9" s="16" t="inlineStr">
        <is>
          <t>2026-06-24</t>
        </is>
      </c>
      <c r="C9" s="13" t="inlineStr">
        <is>
          <t>600519</t>
        </is>
      </c>
      <c r="D9" s="13" t="inlineStr">
        <is>
          <t>贵州茅台</t>
        </is>
      </c>
      <c r="E9" s="13" t="inlineStr">
        <is>
          <t>SELL</t>
        </is>
      </c>
      <c r="F9" s="13" t="inlineStr">
        <is>
          <t>LIMIT</t>
        </is>
      </c>
      <c r="G9" s="17" t="n">
        <v>30</v>
      </c>
      <c r="H9" s="18" t="n"/>
      <c r="I9" s="18" t="n">
        <v>1215.2721</v>
      </c>
      <c r="J9" s="13" t="inlineStr">
        <is>
          <t>10:06</t>
        </is>
      </c>
      <c r="K9" s="13" t="inlineStr">
        <is>
          <t>FILLED</t>
        </is>
      </c>
      <c r="L9" s="13" t="inlineStr">
        <is>
          <t>continue-frequency-20260624-v1</t>
        </is>
      </c>
      <c r="M9" s="19" t="n">
        <v>39</v>
      </c>
      <c r="N9" s="13" t="inlineStr">
        <is>
          <t>按用户要求延续昨日交易频次；600519评分39且近120日回撤超20%，纸面减仓控制单票权重</t>
        </is>
      </c>
      <c r="O9" s="13" t="inlineStr">
        <is>
          <t>P20260605001</t>
        </is>
      </c>
      <c r="P9" s="20" t="inlineStr">
        <is>
          <t>2026-06-24 10:06</t>
        </is>
      </c>
    </row>
    <row r="10">
      <c r="A10" s="13" t="inlineStr">
        <is>
          <t>T20260624009</t>
        </is>
      </c>
      <c r="B10" s="16" t="inlineStr">
        <is>
          <t>2026-06-24</t>
        </is>
      </c>
      <c r="C10" s="13" t="inlineStr">
        <is>
          <t>600941</t>
        </is>
      </c>
      <c r="D10" s="13" t="inlineStr">
        <is>
          <t>中国移动</t>
        </is>
      </c>
      <c r="E10" s="13" t="inlineStr">
        <is>
          <t>SELL</t>
        </is>
      </c>
      <c r="F10" s="13" t="inlineStr">
        <is>
          <t>LIMIT</t>
        </is>
      </c>
      <c r="G10" s="17" t="n">
        <v>100</v>
      </c>
      <c r="H10" s="18" t="n"/>
      <c r="I10" s="18" t="n">
        <v>89.65519999999999</v>
      </c>
      <c r="J10" s="13" t="inlineStr">
        <is>
          <t>10:09</t>
        </is>
      </c>
      <c r="K10" s="13" t="inlineStr">
        <is>
          <t>FILLED</t>
        </is>
      </c>
      <c r="L10" s="13" t="inlineStr">
        <is>
          <t>continue-frequency-20260624-v1</t>
        </is>
      </c>
      <c r="M10" s="19" t="n"/>
      <c r="N10" s="13" t="inlineStr">
        <is>
          <t>按用户要求延续昨日交易频次；600941早盘-0.91%且跌破昨日成本，纸面降低防守仓</t>
        </is>
      </c>
      <c r="O10" s="13" t="inlineStr"/>
      <c r="P10" s="20" t="inlineStr">
        <is>
          <t>2026-06-24 10:09</t>
        </is>
      </c>
    </row>
    <row r="11">
      <c r="A11" s="13" t="inlineStr">
        <is>
          <t>T20260624010</t>
        </is>
      </c>
      <c r="B11" s="16" t="inlineStr">
        <is>
          <t>2026-06-24</t>
        </is>
      </c>
      <c r="C11" s="13" t="inlineStr">
        <is>
          <t>688981</t>
        </is>
      </c>
      <c r="D11" s="13" t="inlineStr">
        <is>
          <t>中芯国际</t>
        </is>
      </c>
      <c r="E11" s="13" t="inlineStr">
        <is>
          <t>BUY</t>
        </is>
      </c>
      <c r="F11" s="13" t="inlineStr">
        <is>
          <t>LIMIT</t>
        </is>
      </c>
      <c r="G11" s="17" t="n">
        <v>100</v>
      </c>
      <c r="H11" s="18" t="n">
        <v>148.7443</v>
      </c>
      <c r="I11" s="18" t="n">
        <v>148.7443</v>
      </c>
      <c r="J11" s="13" t="inlineStr">
        <is>
          <t>10:10</t>
        </is>
      </c>
      <c r="K11" s="13" t="inlineStr">
        <is>
          <t>FILLED</t>
        </is>
      </c>
      <c r="L11" s="13" t="inlineStr">
        <is>
          <t>continue-frequency-20260624-v1</t>
        </is>
      </c>
      <c r="M11" s="19" t="n"/>
      <c r="N11" s="13" t="inlineStr">
        <is>
          <t>按用户要求延续昨日交易频次；688981早盘+4.92%为当前组合唯一明显转强样本，纸面小幅加仓验证强者留存</t>
        </is>
      </c>
      <c r="O11" s="13" t="inlineStr"/>
      <c r="P11" s="20" t="inlineStr">
        <is>
          <t>2026-06-24 10:10</t>
        </is>
      </c>
    </row>
    <row r="12">
      <c r="A12" s="13" t="inlineStr">
        <is>
          <t>T20260626011</t>
        </is>
      </c>
      <c r="B12" s="16" t="inlineStr">
        <is>
          <t>2026-06-26</t>
        </is>
      </c>
      <c r="C12" s="13" t="inlineStr">
        <is>
          <t>002230</t>
        </is>
      </c>
      <c r="D12" s="13" t="inlineStr">
        <is>
          <t>未知</t>
        </is>
      </c>
      <c r="E12" s="13" t="inlineStr">
        <is>
          <t>SELL</t>
        </is>
      </c>
      <c r="F12" s="13" t="inlineStr">
        <is>
          <t>LIMIT</t>
        </is>
      </c>
      <c r="G12" s="17" t="n">
        <v>100</v>
      </c>
      <c r="H12" s="18" t="n"/>
      <c r="I12" s="18" t="n">
        <v>40.3498</v>
      </c>
      <c r="J12" s="13" t="inlineStr">
        <is>
          <t>09:30</t>
        </is>
      </c>
      <c r="K12" s="13" t="inlineStr">
        <is>
          <t>FILLED</t>
        </is>
      </c>
      <c r="L12" s="13" t="inlineStr">
        <is>
          <t>score-standard-v1</t>
        </is>
      </c>
      <c r="M12" s="19" t="n">
        <v>38.5</v>
      </c>
      <c r="N12" s="13" t="inlineStr">
        <is>
          <t>评分 38.5 低于退出阈值 45.0，按分层减仓 33% 处理</t>
        </is>
      </c>
      <c r="O12" s="13" t="inlineStr">
        <is>
          <t>P20260625011</t>
        </is>
      </c>
      <c r="P12" s="20" t="inlineStr">
        <is>
          <t>2026-06-26 09:30</t>
        </is>
      </c>
    </row>
    <row r="13">
      <c r="A13" s="13" t="inlineStr">
        <is>
          <t>T20260626012</t>
        </is>
      </c>
      <c r="B13" s="16" t="inlineStr">
        <is>
          <t>2026-06-26</t>
        </is>
      </c>
      <c r="C13" s="13" t="inlineStr">
        <is>
          <t>600036</t>
        </is>
      </c>
      <c r="D13" s="13" t="inlineStr">
        <is>
          <t>未知</t>
        </is>
      </c>
      <c r="E13" s="13" t="inlineStr">
        <is>
          <t>SELL</t>
        </is>
      </c>
      <c r="F13" s="13" t="inlineStr">
        <is>
          <t>LIMIT</t>
        </is>
      </c>
      <c r="G13" s="17" t="n">
        <v>200</v>
      </c>
      <c r="H13" s="18" t="n"/>
      <c r="I13" s="18" t="n">
        <v>36.0919</v>
      </c>
      <c r="J13" s="13" t="inlineStr">
        <is>
          <t>09:30</t>
        </is>
      </c>
      <c r="K13" s="13" t="inlineStr">
        <is>
          <t>FILLED</t>
        </is>
      </c>
      <c r="L13" s="13" t="inlineStr">
        <is>
          <t>score-standard-v1</t>
        </is>
      </c>
      <c r="M13" s="19" t="n">
        <v>42.9</v>
      </c>
      <c r="N13" s="13" t="inlineStr">
        <is>
          <t>评分 42.9 低于退出阈值 45.0，按分层减仓 33% 处理</t>
        </is>
      </c>
      <c r="O13" s="13" t="inlineStr"/>
      <c r="P13" s="20" t="inlineStr">
        <is>
          <t>2026-06-26 09:30</t>
        </is>
      </c>
    </row>
    <row r="14">
      <c r="A14" s="13" t="inlineStr">
        <is>
          <t>T20260626013</t>
        </is>
      </c>
      <c r="B14" s="16" t="inlineStr">
        <is>
          <t>2026-06-26</t>
        </is>
      </c>
      <c r="C14" s="13" t="inlineStr">
        <is>
          <t>600519</t>
        </is>
      </c>
      <c r="D14" s="13" t="inlineStr">
        <is>
          <t>贵州茅台</t>
        </is>
      </c>
      <c r="E14" s="13" t="inlineStr">
        <is>
          <t>SELL</t>
        </is>
      </c>
      <c r="F14" s="13" t="inlineStr">
        <is>
          <t>LIMIT</t>
        </is>
      </c>
      <c r="G14" s="17" t="n">
        <v>70</v>
      </c>
      <c r="H14" s="18" t="n"/>
      <c r="I14" s="18" t="n">
        <v>1185.397</v>
      </c>
      <c r="J14" s="13" t="inlineStr">
        <is>
          <t>09:30</t>
        </is>
      </c>
      <c r="K14" s="13" t="inlineStr">
        <is>
          <t>FILLED</t>
        </is>
      </c>
      <c r="L14" s="13" t="inlineStr">
        <is>
          <t>score-standard-v1</t>
        </is>
      </c>
      <c r="M14" s="19" t="n">
        <v>38.6</v>
      </c>
      <c r="N14" s="13" t="inlineStr">
        <is>
          <t>评分 38.6 低于退出阈值 45.0，按分层减仓 33% 处理</t>
        </is>
      </c>
      <c r="O14" s="13" t="inlineStr">
        <is>
          <t>P20260605001</t>
        </is>
      </c>
      <c r="P14" s="20" t="inlineStr">
        <is>
          <t>2026-06-26 09:30</t>
        </is>
      </c>
    </row>
    <row r="15">
      <c r="A15" s="13" t="inlineStr">
        <is>
          <t>T20260630014</t>
        </is>
      </c>
      <c r="B15" s="16" t="inlineStr">
        <is>
          <t>2026-06-30</t>
        </is>
      </c>
      <c r="C15" s="13" t="inlineStr">
        <is>
          <t>002230</t>
        </is>
      </c>
      <c r="D15" s="13" t="inlineStr">
        <is>
          <t>未知</t>
        </is>
      </c>
      <c r="E15" s="13" t="inlineStr">
        <is>
          <t>SELL</t>
        </is>
      </c>
      <c r="F15" s="13" t="inlineStr">
        <is>
          <t>LIMIT</t>
        </is>
      </c>
      <c r="G15" s="17" t="n">
        <v>100</v>
      </c>
      <c r="H15" s="18" t="n"/>
      <c r="I15" s="18" t="n">
        <v>40.5097</v>
      </c>
      <c r="J15" s="13" t="inlineStr">
        <is>
          <t>09:30</t>
        </is>
      </c>
      <c r="K15" s="13" t="inlineStr">
        <is>
          <t>FILLED</t>
        </is>
      </c>
      <c r="L15" s="13" t="inlineStr">
        <is>
          <t>score-standard-v1</t>
        </is>
      </c>
      <c r="M15" s="19" t="n">
        <v>30.5</v>
      </c>
      <c r="N15" s="13" t="inlineStr">
        <is>
          <t>评分 30.5 低于退出阈值 45.0，按分层减仓 33% 处理</t>
        </is>
      </c>
      <c r="O15" s="13" t="inlineStr">
        <is>
          <t>P20260625011</t>
        </is>
      </c>
      <c r="P15" s="20" t="inlineStr">
        <is>
          <t>2026-06-30 09:30</t>
        </is>
      </c>
    </row>
    <row r="16">
      <c r="A16" s="13" t="inlineStr">
        <is>
          <t>T20260630015</t>
        </is>
      </c>
      <c r="B16" s="16" t="inlineStr">
        <is>
          <t>2026-06-30</t>
        </is>
      </c>
      <c r="C16" s="13" t="inlineStr">
        <is>
          <t>300750</t>
        </is>
      </c>
      <c r="D16" s="13" t="inlineStr">
        <is>
          <t>宁德时代</t>
        </is>
      </c>
      <c r="E16" s="13" t="inlineStr">
        <is>
          <t>SELL</t>
        </is>
      </c>
      <c r="F16" s="13" t="inlineStr">
        <is>
          <t>LIMIT</t>
        </is>
      </c>
      <c r="G16" s="17" t="n">
        <v>70</v>
      </c>
      <c r="H16" s="18" t="n"/>
      <c r="I16" s="18" t="n">
        <v>392.1738</v>
      </c>
      <c r="J16" s="13" t="inlineStr">
        <is>
          <t>09:30</t>
        </is>
      </c>
      <c r="K16" s="13" t="inlineStr">
        <is>
          <t>FILLED</t>
        </is>
      </c>
      <c r="L16" s="13" t="inlineStr">
        <is>
          <t>score-standard-v1</t>
        </is>
      </c>
      <c r="M16" s="19" t="n">
        <v>28.2</v>
      </c>
      <c r="N16" s="13" t="inlineStr">
        <is>
          <t>评分 28.2 低于退出阈值 45.0，按分层减仓 33% 处理</t>
        </is>
      </c>
      <c r="O16" s="13" t="inlineStr"/>
      <c r="P16" s="20" t="inlineStr">
        <is>
          <t>2026-06-30 09:30</t>
        </is>
      </c>
    </row>
    <row r="17">
      <c r="A17" s="13" t="inlineStr">
        <is>
          <t>T20260630016</t>
        </is>
      </c>
      <c r="B17" s="16" t="inlineStr">
        <is>
          <t>2026-06-30</t>
        </is>
      </c>
      <c r="C17" s="13" t="inlineStr">
        <is>
          <t>600036</t>
        </is>
      </c>
      <c r="D17" s="13" t="inlineStr">
        <is>
          <t>未知</t>
        </is>
      </c>
      <c r="E17" s="13" t="inlineStr">
        <is>
          <t>SELL</t>
        </is>
      </c>
      <c r="F17" s="13" t="inlineStr">
        <is>
          <t>LIMIT</t>
        </is>
      </c>
      <c r="G17" s="17" t="n">
        <v>100</v>
      </c>
      <c r="H17" s="18" t="n"/>
      <c r="I17" s="18" t="n">
        <v>35.912</v>
      </c>
      <c r="J17" s="13" t="inlineStr">
        <is>
          <t>09:30</t>
        </is>
      </c>
      <c r="K17" s="13" t="inlineStr">
        <is>
          <t>FILLED</t>
        </is>
      </c>
      <c r="L17" s="13" t="inlineStr">
        <is>
          <t>score-standard-v1</t>
        </is>
      </c>
      <c r="M17" s="19" t="n">
        <v>42.6</v>
      </c>
      <c r="N17" s="13" t="inlineStr">
        <is>
          <t>评分 42.6 低于退出阈值 45.0，按分层减仓 33% 处理</t>
        </is>
      </c>
      <c r="O17" s="13" t="inlineStr"/>
      <c r="P17" s="20" t="inlineStr">
        <is>
          <t>2026-06-30 09:30</t>
        </is>
      </c>
    </row>
  </sheetData>
  <autoFilter ref="A1:P17"/>
  <conditionalFormatting sqref="K2:K17">
    <cfRule type="expression" priority="1" dxfId="0">
      <formula>OR($K2="FILLED",$K2="OK",$K2="CLOSED")</formula>
    </cfRule>
    <cfRule type="expression" priority="2" dxfId="1">
      <formula>OR($K2="WARNING",$K2="PENDING",$K2="IN_PROGRESS")</formula>
    </cfRule>
    <cfRule type="expression" priority="3" dxfId="2">
      <formula>OR($K2="STOP",$K2="BLOCKED",$K2="OPEN",$K2="FAILED")</formula>
    </cfRule>
  </conditionalFormatting>
  <dataValidations count="3">
    <dataValidation sqref="E2:E1048576" showDropDown="0" showInputMessage="0" showErrorMessage="0" allowBlank="1" type="list">
      <formula1>"BUY,SELL"</formula1>
    </dataValidation>
    <dataValidation sqref="F2:F1048576" showDropDown="0" showInputMessage="0" showErrorMessage="0" allowBlank="1" type="list">
      <formula1>"LIMIT,MARKET,STOP,CONDITIONAL"</formula1>
    </dataValidation>
    <dataValidation sqref="K2:K1048576" showDropDown="0" showInputMessage="0" showErrorMessage="0" allowBlank="1" type="list">
      <formula1>"PENDING,FILLED,PARTIAL,CANCELLED,BLOCKED"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38" customWidth="1" min="12" max="12"/>
  </cols>
  <sheetData>
    <row r="1">
      <c r="A1" s="21" t="inlineStr">
        <is>
          <t>date</t>
        </is>
      </c>
      <c r="B1" s="21" t="inlineStr">
        <is>
          <t>symbol</t>
        </is>
      </c>
      <c r="C1" s="21" t="inlineStr">
        <is>
          <t>name</t>
        </is>
      </c>
      <c r="D1" s="21" t="inlineStr">
        <is>
          <t>quantity</t>
        </is>
      </c>
      <c r="E1" s="21" t="inlineStr">
        <is>
          <t>avg_cost</t>
        </is>
      </c>
      <c r="F1" s="21" t="inlineStr">
        <is>
          <t>last_price</t>
        </is>
      </c>
      <c r="G1" s="21" t="inlineStr">
        <is>
          <t>market_value</t>
        </is>
      </c>
      <c r="H1" s="21" t="inlineStr">
        <is>
          <t>unrealized_pnl</t>
        </is>
      </c>
      <c r="I1" s="21" t="inlineStr">
        <is>
          <t>unrealized_pnl_%</t>
        </is>
      </c>
      <c r="J1" s="21" t="inlineStr">
        <is>
          <t>weight_%</t>
        </is>
      </c>
      <c r="K1" s="21" t="inlineStr">
        <is>
          <t>cost_basis</t>
        </is>
      </c>
      <c r="L1" s="21" t="inlineStr">
        <is>
          <t>note</t>
        </is>
      </c>
    </row>
    <row r="2">
      <c r="A2" s="16" t="inlineStr">
        <is>
          <t>2026-06-08</t>
        </is>
      </c>
      <c r="B2" s="13" t="inlineStr">
        <is>
          <t>600519</t>
        </is>
      </c>
      <c r="C2" s="13" t="inlineStr">
        <is>
          <t>贵州茅台</t>
        </is>
      </c>
      <c r="D2" s="17" t="n">
        <v>100</v>
      </c>
      <c r="E2" s="18" t="n">
        <v>1501.4004</v>
      </c>
      <c r="F2" s="18" t="n">
        <v>1262.98</v>
      </c>
      <c r="G2" s="22">
        <f>D2*F2</f>
        <v/>
      </c>
      <c r="H2" s="23">
        <f>D2*(F2-E2)</f>
        <v/>
      </c>
      <c r="I2" s="24">
        <f>IFERROR(H2/K2,"")</f>
        <v/>
      </c>
      <c r="J2" s="25" t="n">
        <v>0.129383</v>
      </c>
      <c r="K2" s="22">
        <f>D2*E2</f>
        <v/>
      </c>
      <c r="L2" s="13" t="inlineStr">
        <is>
          <t>正式模拟盘保留持仓；回测卖出未获用户确认，不作为正式模拟盘成交</t>
        </is>
      </c>
    </row>
    <row r="3">
      <c r="A3" s="16" t="inlineStr">
        <is>
          <t>2026-06-23</t>
        </is>
      </c>
      <c r="B3" s="13" t="inlineStr">
        <is>
          <t>002230</t>
        </is>
      </c>
      <c r="C3" s="13" t="inlineStr">
        <is>
          <t>科大讯飞</t>
        </is>
      </c>
      <c r="D3" s="17" t="n">
        <v>300</v>
      </c>
      <c r="E3" s="18" t="n">
        <v>42.7184</v>
      </c>
      <c r="F3" s="18" t="n">
        <v>42.68</v>
      </c>
      <c r="G3" s="22">
        <f>D3*F3</f>
        <v/>
      </c>
      <c r="H3" s="23">
        <f>D3*(F3-E3)</f>
        <v/>
      </c>
      <c r="I3" s="24">
        <f>IFERROR(H3/K3,"")</f>
        <v/>
      </c>
      <c r="J3" s="25" t="n">
        <v>0.013126</v>
      </c>
      <c r="K3" s="22">
        <f>D3*E3</f>
        <v/>
      </c>
      <c r="L3" s="13" t="inlineStr"/>
    </row>
    <row r="4">
      <c r="A4" s="16" t="inlineStr">
        <is>
          <t>2026-06-23</t>
        </is>
      </c>
      <c r="B4" s="13" t="inlineStr">
        <is>
          <t>300750</t>
        </is>
      </c>
      <c r="C4" s="13" t="inlineStr">
        <is>
          <t>宁德时代</t>
        </is>
      </c>
      <c r="D4" s="17" t="n">
        <v>100</v>
      </c>
      <c r="E4" s="18" t="n">
        <v>401.9154</v>
      </c>
      <c r="F4" s="18" t="n">
        <v>401.59</v>
      </c>
      <c r="G4" s="22">
        <f>D4*F4</f>
        <v/>
      </c>
      <c r="H4" s="23">
        <f>D4*(F4-E4)</f>
        <v/>
      </c>
      <c r="I4" s="24">
        <f>IFERROR(H4/K4,"")</f>
        <v/>
      </c>
      <c r="J4" s="25" t="n">
        <v>0.04117</v>
      </c>
      <c r="K4" s="22">
        <f>D4*E4</f>
        <v/>
      </c>
      <c r="L4" s="13" t="inlineStr"/>
    </row>
    <row r="5">
      <c r="A5" s="16" t="inlineStr">
        <is>
          <t>2026-06-23</t>
        </is>
      </c>
      <c r="B5" s="13" t="inlineStr">
        <is>
          <t>600036</t>
        </is>
      </c>
      <c r="C5" s="13" t="inlineStr">
        <is>
          <t>招商银行</t>
        </is>
      </c>
      <c r="D5" s="17" t="n">
        <v>1000</v>
      </c>
      <c r="E5" s="18" t="n">
        <v>37.8106</v>
      </c>
      <c r="F5" s="18" t="n">
        <v>37.78</v>
      </c>
      <c r="G5" s="22">
        <f>D5*F5</f>
        <v/>
      </c>
      <c r="H5" s="23">
        <f>D5*(F5-E5)</f>
        <v/>
      </c>
      <c r="I5" s="24">
        <f>IFERROR(H5/K5,"")</f>
        <v/>
      </c>
      <c r="J5" s="25" t="n">
        <v>0.038731</v>
      </c>
      <c r="K5" s="22">
        <f>D5*E5</f>
        <v/>
      </c>
      <c r="L5" s="13" t="inlineStr"/>
    </row>
    <row r="6">
      <c r="A6" s="16" t="inlineStr">
        <is>
          <t>2026-06-23</t>
        </is>
      </c>
      <c r="B6" s="13" t="inlineStr">
        <is>
          <t>600519</t>
        </is>
      </c>
      <c r="C6" s="13" t="inlineStr">
        <is>
          <t>贵州茅台</t>
        </is>
      </c>
      <c r="D6" s="17" t="n">
        <v>100</v>
      </c>
      <c r="E6" s="18" t="n">
        <v>1501.4004</v>
      </c>
      <c r="F6" s="18" t="n">
        <v>1257.02</v>
      </c>
      <c r="G6" s="22">
        <f>D6*F6</f>
        <v/>
      </c>
      <c r="H6" s="23">
        <f>D6*(F6-E6)</f>
        <v/>
      </c>
      <c r="I6" s="24">
        <f>IFERROR(H6/K6,"")</f>
        <v/>
      </c>
      <c r="J6" s="25" t="n">
        <v>0.128868</v>
      </c>
      <c r="K6" s="22">
        <f>D6*E6</f>
        <v/>
      </c>
      <c r="L6" s="13" t="inlineStr"/>
    </row>
    <row r="7">
      <c r="A7" s="16" t="inlineStr">
        <is>
          <t>2026-06-23</t>
        </is>
      </c>
      <c r="B7" s="13" t="inlineStr">
        <is>
          <t>600941</t>
        </is>
      </c>
      <c r="C7" s="13" t="inlineStr">
        <is>
          <t>中国移动</t>
        </is>
      </c>
      <c r="D7" s="17" t="n">
        <v>400</v>
      </c>
      <c r="E7" s="18" t="n">
        <v>91.02370000000001</v>
      </c>
      <c r="F7" s="18" t="n">
        <v>90.95</v>
      </c>
      <c r="G7" s="22">
        <f>D7*F7</f>
        <v/>
      </c>
      <c r="H7" s="23">
        <f>D7*(F7-E7)</f>
        <v/>
      </c>
      <c r="I7" s="24">
        <f>IFERROR(H7/K7,"")</f>
        <v/>
      </c>
      <c r="J7" s="25" t="n">
        <v>0.037296</v>
      </c>
      <c r="K7" s="22">
        <f>D7*E7</f>
        <v/>
      </c>
      <c r="L7" s="13" t="inlineStr"/>
    </row>
    <row r="8">
      <c r="A8" s="16" t="inlineStr">
        <is>
          <t>2026-06-23</t>
        </is>
      </c>
      <c r="B8" s="13" t="inlineStr">
        <is>
          <t>688981</t>
        </is>
      </c>
      <c r="C8" s="13" t="inlineStr">
        <is>
          <t>中芯国际</t>
        </is>
      </c>
      <c r="D8" s="17" t="n">
        <v>200</v>
      </c>
      <c r="E8" s="18" t="n">
        <v>144.1367</v>
      </c>
      <c r="F8" s="18" t="n">
        <v>144.02</v>
      </c>
      <c r="G8" s="22">
        <f>D8*F8</f>
        <v/>
      </c>
      <c r="H8" s="23">
        <f>D8*(F8-E8)</f>
        <v/>
      </c>
      <c r="I8" s="24">
        <f>IFERROR(H8/K8,"")</f>
        <v/>
      </c>
      <c r="J8" s="25" t="n">
        <v>0.029529</v>
      </c>
      <c r="K8" s="22">
        <f>D8*E8</f>
        <v/>
      </c>
      <c r="L8" s="13" t="inlineStr"/>
    </row>
    <row r="9">
      <c r="A9" s="16" t="inlineStr">
        <is>
          <t>2026-06-24</t>
        </is>
      </c>
      <c r="B9" s="13" t="inlineStr">
        <is>
          <t>002230</t>
        </is>
      </c>
      <c r="C9" s="13" t="inlineStr">
        <is>
          <t>科大讯飞</t>
        </is>
      </c>
      <c r="D9" s="17" t="n">
        <v>300</v>
      </c>
      <c r="E9" s="18" t="n">
        <v>42.7184</v>
      </c>
      <c r="F9" s="18" t="n">
        <v>42.01</v>
      </c>
      <c r="G9" s="22">
        <f>D9*F9</f>
        <v/>
      </c>
      <c r="H9" s="23">
        <f>D9*(F9-E9)</f>
        <v/>
      </c>
      <c r="I9" s="24">
        <f>IFERROR(H9/K9,"")</f>
        <v/>
      </c>
      <c r="J9" s="25" t="n">
        <v>0.012998</v>
      </c>
      <c r="K9" s="22">
        <f>D9*E9</f>
        <v/>
      </c>
      <c r="L9" s="13" t="inlineStr"/>
    </row>
    <row r="10">
      <c r="A10" s="16" t="inlineStr">
        <is>
          <t>2026-06-24</t>
        </is>
      </c>
      <c r="B10" s="13" t="inlineStr">
        <is>
          <t>300750</t>
        </is>
      </c>
      <c r="C10" s="13" t="inlineStr">
        <is>
          <t>宁德时代</t>
        </is>
      </c>
      <c r="D10" s="17" t="n">
        <v>70</v>
      </c>
      <c r="E10" s="18" t="n">
        <v>401.9154</v>
      </c>
      <c r="F10" s="18" t="n">
        <v>389.95</v>
      </c>
      <c r="G10" s="22">
        <f>D10*F10</f>
        <v/>
      </c>
      <c r="H10" s="23">
        <f>D10*(F10-E10)</f>
        <v/>
      </c>
      <c r="I10" s="24">
        <f>IFERROR(H10/K10,"")</f>
        <v/>
      </c>
      <c r="J10" s="25" t="n">
        <v>0.028152</v>
      </c>
      <c r="K10" s="22">
        <f>D10*E10</f>
        <v/>
      </c>
      <c r="L10" s="13" t="inlineStr"/>
    </row>
    <row r="11">
      <c r="A11" s="16" t="inlineStr">
        <is>
          <t>2026-06-24</t>
        </is>
      </c>
      <c r="B11" s="13" t="inlineStr">
        <is>
          <t>600036</t>
        </is>
      </c>
      <c r="C11" s="13" t="inlineStr">
        <is>
          <t>招商银行</t>
        </is>
      </c>
      <c r="D11" s="17" t="n">
        <v>700</v>
      </c>
      <c r="E11" s="18" t="n">
        <v>37.8106</v>
      </c>
      <c r="F11" s="18" t="n">
        <v>37.1</v>
      </c>
      <c r="G11" s="22">
        <f>D11*F11</f>
        <v/>
      </c>
      <c r="H11" s="23">
        <f>D11*(F11-E11)</f>
        <v/>
      </c>
      <c r="I11" s="24">
        <f>IFERROR(H11/K11,"")</f>
        <v/>
      </c>
      <c r="J11" s="25" t="n">
        <v>0.026784</v>
      </c>
      <c r="K11" s="22">
        <f>D11*E11</f>
        <v/>
      </c>
      <c r="L11" s="13" t="inlineStr"/>
    </row>
    <row r="12">
      <c r="A12" s="16" t="inlineStr">
        <is>
          <t>2026-06-24</t>
        </is>
      </c>
      <c r="B12" s="13" t="inlineStr">
        <is>
          <t>600519</t>
        </is>
      </c>
      <c r="C12" s="13" t="inlineStr">
        <is>
          <t>贵州茅台</t>
        </is>
      </c>
      <c r="D12" s="17" t="n">
        <v>70</v>
      </c>
      <c r="E12" s="18" t="n">
        <v>1501.4004</v>
      </c>
      <c r="F12" s="18" t="n">
        <v>1215.88</v>
      </c>
      <c r="G12" s="22">
        <f>D12*F12</f>
        <v/>
      </c>
      <c r="H12" s="23">
        <f>D12*(F12-E12)</f>
        <v/>
      </c>
      <c r="I12" s="24">
        <f>IFERROR(H12/K12,"")</f>
        <v/>
      </c>
      <c r="J12" s="25" t="n">
        <v>0.08778000000000001</v>
      </c>
      <c r="K12" s="22">
        <f>D12*E12</f>
        <v/>
      </c>
      <c r="L12" s="13" t="inlineStr"/>
    </row>
    <row r="13">
      <c r="A13" s="16" t="inlineStr">
        <is>
          <t>2026-06-24</t>
        </is>
      </c>
      <c r="B13" s="13" t="inlineStr">
        <is>
          <t>600941</t>
        </is>
      </c>
      <c r="C13" s="13" t="inlineStr">
        <is>
          <t>中国移动</t>
        </is>
      </c>
      <c r="D13" s="17" t="n">
        <v>300</v>
      </c>
      <c r="E13" s="18" t="n">
        <v>91.02370000000001</v>
      </c>
      <c r="F13" s="18" t="n">
        <v>89.7</v>
      </c>
      <c r="G13" s="22">
        <f>D13*F13</f>
        <v/>
      </c>
      <c r="H13" s="23">
        <f>D13*(F13-E13)</f>
        <v/>
      </c>
      <c r="I13" s="24">
        <f>IFERROR(H13/K13,"")</f>
        <v/>
      </c>
      <c r="J13" s="25" t="n">
        <v>0.027754</v>
      </c>
      <c r="K13" s="22">
        <f>D13*E13</f>
        <v/>
      </c>
      <c r="L13" s="13" t="inlineStr"/>
    </row>
    <row r="14">
      <c r="A14" s="16" t="inlineStr">
        <is>
          <t>2026-06-24</t>
        </is>
      </c>
      <c r="B14" s="13" t="inlineStr">
        <is>
          <t>688981</t>
        </is>
      </c>
      <c r="C14" s="13" t="inlineStr">
        <is>
          <t>中芯国际</t>
        </is>
      </c>
      <c r="D14" s="17" t="n">
        <v>300</v>
      </c>
      <c r="E14" s="18" t="n">
        <v>145.6897</v>
      </c>
      <c r="F14" s="18" t="n">
        <v>148.67</v>
      </c>
      <c r="G14" s="22">
        <f>D14*F14</f>
        <v/>
      </c>
      <c r="H14" s="23">
        <f>D14*(F14-E14)</f>
        <v/>
      </c>
      <c r="I14" s="24">
        <f>IFERROR(H14/K14,"")</f>
        <v/>
      </c>
      <c r="J14" s="25" t="n">
        <v>0.045999</v>
      </c>
      <c r="K14" s="22">
        <f>D14*E14</f>
        <v/>
      </c>
      <c r="L14" s="13" t="inlineStr"/>
    </row>
    <row r="15">
      <c r="A15" s="16" t="inlineStr">
        <is>
          <t>2026-06-25</t>
        </is>
      </c>
      <c r="B15" s="13" t="inlineStr">
        <is>
          <t>002230</t>
        </is>
      </c>
      <c r="C15" s="13" t="inlineStr">
        <is>
          <t>科大讯飞</t>
        </is>
      </c>
      <c r="D15" s="17" t="n">
        <v>300</v>
      </c>
      <c r="E15" s="18" t="n">
        <v>42.7184</v>
      </c>
      <c r="F15" s="18" t="n">
        <v>41.68</v>
      </c>
      <c r="G15" s="22">
        <f>D15*F15</f>
        <v/>
      </c>
      <c r="H15" s="23">
        <f>D15*(F15-E15)</f>
        <v/>
      </c>
      <c r="I15" s="24">
        <f>IFERROR(H15/K15,"")</f>
        <v/>
      </c>
      <c r="J15" s="25" t="n">
        <v>0.012873</v>
      </c>
      <c r="K15" s="22">
        <f>D15*E15</f>
        <v/>
      </c>
      <c r="L15" s="13" t="inlineStr"/>
    </row>
    <row r="16">
      <c r="A16" s="16" t="inlineStr">
        <is>
          <t>2026-06-25</t>
        </is>
      </c>
      <c r="B16" s="13" t="inlineStr">
        <is>
          <t>300750</t>
        </is>
      </c>
      <c r="C16" s="13" t="inlineStr">
        <is>
          <t>宁德时代</t>
        </is>
      </c>
      <c r="D16" s="17" t="n">
        <v>70</v>
      </c>
      <c r="E16" s="18" t="n">
        <v>401.9154</v>
      </c>
      <c r="F16" s="18" t="n">
        <v>401.9</v>
      </c>
      <c r="G16" s="22">
        <f>D16*F16</f>
        <v/>
      </c>
      <c r="H16" s="23">
        <f>D16*(F16-E16)</f>
        <v/>
      </c>
      <c r="I16" s="24">
        <f>IFERROR(H16/K16,"")</f>
        <v/>
      </c>
      <c r="J16" s="25" t="n">
        <v>0.028964</v>
      </c>
      <c r="K16" s="22">
        <f>D16*E16</f>
        <v/>
      </c>
      <c r="L16" s="13" t="inlineStr"/>
    </row>
    <row r="17">
      <c r="A17" s="16" t="inlineStr">
        <is>
          <t>2026-06-25</t>
        </is>
      </c>
      <c r="B17" s="13" t="inlineStr">
        <is>
          <t>600036</t>
        </is>
      </c>
      <c r="C17" s="13" t="inlineStr">
        <is>
          <t>招商银行</t>
        </is>
      </c>
      <c r="D17" s="17" t="n">
        <v>700</v>
      </c>
      <c r="E17" s="18" t="n">
        <v>37.8106</v>
      </c>
      <c r="F17" s="18" t="n">
        <v>36.23</v>
      </c>
      <c r="G17" s="22">
        <f>D17*F17</f>
        <v/>
      </c>
      <c r="H17" s="23">
        <f>D17*(F17-E17)</f>
        <v/>
      </c>
      <c r="I17" s="24">
        <f>IFERROR(H17/K17,"")</f>
        <v/>
      </c>
      <c r="J17" s="25" t="n">
        <v>0.02611</v>
      </c>
      <c r="K17" s="22">
        <f>D17*E17</f>
        <v/>
      </c>
      <c r="L17" s="13" t="inlineStr"/>
    </row>
    <row r="18">
      <c r="A18" s="16" t="inlineStr">
        <is>
          <t>2026-06-25</t>
        </is>
      </c>
      <c r="B18" s="13" t="inlineStr">
        <is>
          <t>600519</t>
        </is>
      </c>
      <c r="C18" s="13" t="inlineStr">
        <is>
          <t>贵州茅台</t>
        </is>
      </c>
      <c r="D18" s="17" t="n">
        <v>70</v>
      </c>
      <c r="E18" s="18" t="n">
        <v>1501.4004</v>
      </c>
      <c r="F18" s="18" t="n">
        <v>1212.1</v>
      </c>
      <c r="G18" s="22">
        <f>D18*F18</f>
        <v/>
      </c>
      <c r="H18" s="23">
        <f>D18*(F18-E18)</f>
        <v/>
      </c>
      <c r="I18" s="24">
        <f>IFERROR(H18/K18,"")</f>
        <v/>
      </c>
      <c r="J18" s="25" t="n">
        <v>0.08735200000000001</v>
      </c>
      <c r="K18" s="22">
        <f>D18*E18</f>
        <v/>
      </c>
      <c r="L18" s="13" t="inlineStr"/>
    </row>
    <row r="19">
      <c r="A19" s="16" t="inlineStr">
        <is>
          <t>2026-06-25</t>
        </is>
      </c>
      <c r="B19" s="13" t="inlineStr">
        <is>
          <t>600941</t>
        </is>
      </c>
      <c r="C19" s="13" t="inlineStr">
        <is>
          <t>中国移动</t>
        </is>
      </c>
      <c r="D19" s="17" t="n">
        <v>300</v>
      </c>
      <c r="E19" s="18" t="n">
        <v>91.02370000000001</v>
      </c>
      <c r="F19" s="18" t="n">
        <v>87.7</v>
      </c>
      <c r="G19" s="22">
        <f>D19*F19</f>
        <v/>
      </c>
      <c r="H19" s="23">
        <f>D19*(F19-E19)</f>
        <v/>
      </c>
      <c r="I19" s="24">
        <f>IFERROR(H19/K19,"")</f>
        <v/>
      </c>
      <c r="J19" s="25" t="n">
        <v>0.027087</v>
      </c>
      <c r="K19" s="22">
        <f>D19*E19</f>
        <v/>
      </c>
      <c r="L19" s="13" t="inlineStr"/>
    </row>
    <row r="20">
      <c r="A20" s="16" t="inlineStr">
        <is>
          <t>2026-06-25</t>
        </is>
      </c>
      <c r="B20" s="13" t="inlineStr">
        <is>
          <t>688981</t>
        </is>
      </c>
      <c r="C20" s="13" t="inlineStr">
        <is>
          <t>中芯国际</t>
        </is>
      </c>
      <c r="D20" s="17" t="n">
        <v>300</v>
      </c>
      <c r="E20" s="18" t="n">
        <v>145.6897</v>
      </c>
      <c r="F20" s="18" t="n">
        <v>156.86</v>
      </c>
      <c r="G20" s="22">
        <f>D20*F20</f>
        <v/>
      </c>
      <c r="H20" s="23">
        <f>D20*(F20-E20)</f>
        <v/>
      </c>
      <c r="I20" s="24">
        <f>IFERROR(H20/K20,"")</f>
        <v/>
      </c>
      <c r="J20" s="25" t="n">
        <v>0.048448</v>
      </c>
      <c r="K20" s="22">
        <f>D20*E20</f>
        <v/>
      </c>
      <c r="L20" s="13" t="inlineStr"/>
    </row>
    <row r="21">
      <c r="A21" s="16" t="inlineStr">
        <is>
          <t>2026-06-27</t>
        </is>
      </c>
      <c r="B21" s="13" t="inlineStr">
        <is>
          <t>002230</t>
        </is>
      </c>
      <c r="C21" s="13" t="inlineStr">
        <is>
          <t>未知</t>
        </is>
      </c>
      <c r="D21" s="17" t="n">
        <v>200</v>
      </c>
      <c r="E21" s="18" t="n">
        <v>42.7184</v>
      </c>
      <c r="F21" s="18" t="n">
        <v>40.37</v>
      </c>
      <c r="G21" s="22">
        <f>D21*F21</f>
        <v/>
      </c>
      <c r="H21" s="23">
        <f>D21*(F21-E21)</f>
        <v/>
      </c>
      <c r="I21" s="24">
        <f>IFERROR(H21/K21,"")</f>
        <v/>
      </c>
      <c r="J21" s="25" t="n">
        <v>0.00834</v>
      </c>
      <c r="K21" s="22">
        <f>D21*E21</f>
        <v/>
      </c>
      <c r="L21" s="13" t="inlineStr"/>
    </row>
    <row r="22">
      <c r="A22" s="16" t="inlineStr">
        <is>
          <t>2026-06-27</t>
        </is>
      </c>
      <c r="B22" s="13" t="inlineStr">
        <is>
          <t>300750</t>
        </is>
      </c>
      <c r="C22" s="13" t="inlineStr">
        <is>
          <t>宁德时代</t>
        </is>
      </c>
      <c r="D22" s="17" t="n">
        <v>70</v>
      </c>
      <c r="E22" s="18" t="n">
        <v>401.9154</v>
      </c>
      <c r="F22" s="18" t="n">
        <v>400.15</v>
      </c>
      <c r="G22" s="22">
        <f>D22*F22</f>
        <v/>
      </c>
      <c r="H22" s="23">
        <f>D22*(F22-E22)</f>
        <v/>
      </c>
      <c r="I22" s="24">
        <f>IFERROR(H22/K22,"")</f>
        <v/>
      </c>
      <c r="J22" s="25" t="n">
        <v>0.028934</v>
      </c>
      <c r="K22" s="22">
        <f>D22*E22</f>
        <v/>
      </c>
      <c r="L22" s="13" t="inlineStr"/>
    </row>
    <row r="23">
      <c r="A23" s="16" t="inlineStr">
        <is>
          <t>2026-06-27</t>
        </is>
      </c>
      <c r="B23" s="13" t="inlineStr">
        <is>
          <t>600036</t>
        </is>
      </c>
      <c r="C23" s="13" t="inlineStr">
        <is>
          <t>未知</t>
        </is>
      </c>
      <c r="D23" s="17" t="n">
        <v>500</v>
      </c>
      <c r="E23" s="18" t="n">
        <v>37.8106</v>
      </c>
      <c r="F23" s="18" t="n">
        <v>36.11</v>
      </c>
      <c r="G23" s="22">
        <f>D23*F23</f>
        <v/>
      </c>
      <c r="H23" s="23">
        <f>D23*(F23-E23)</f>
        <v/>
      </c>
      <c r="I23" s="24">
        <f>IFERROR(H23/K23,"")</f>
        <v/>
      </c>
      <c r="J23" s="25" t="n">
        <v>0.018651</v>
      </c>
      <c r="K23" s="22">
        <f>D23*E23</f>
        <v/>
      </c>
      <c r="L23" s="13" t="inlineStr"/>
    </row>
    <row r="24">
      <c r="A24" s="16" t="inlineStr">
        <is>
          <t>2026-06-27</t>
        </is>
      </c>
      <c r="B24" s="13" t="inlineStr">
        <is>
          <t>600941</t>
        </is>
      </c>
      <c r="C24" s="13" t="inlineStr">
        <is>
          <t>中国移动</t>
        </is>
      </c>
      <c r="D24" s="17" t="n">
        <v>300</v>
      </c>
      <c r="E24" s="18" t="n">
        <v>91.02370000000001</v>
      </c>
      <c r="F24" s="18" t="n">
        <v>86.7</v>
      </c>
      <c r="G24" s="22">
        <f>D24*F24</f>
        <v/>
      </c>
      <c r="H24" s="23">
        <f>D24*(F24-E24)</f>
        <v/>
      </c>
      <c r="I24" s="24">
        <f>IFERROR(H24/K24,"")</f>
        <v/>
      </c>
      <c r="J24" s="25" t="n">
        <v>0.026868</v>
      </c>
      <c r="K24" s="22">
        <f>D24*E24</f>
        <v/>
      </c>
      <c r="L24" s="13" t="inlineStr"/>
    </row>
    <row r="25">
      <c r="A25" s="16" t="inlineStr">
        <is>
          <t>2026-06-27</t>
        </is>
      </c>
      <c r="B25" s="13" t="inlineStr">
        <is>
          <t>688981</t>
        </is>
      </c>
      <c r="C25" s="13" t="inlineStr">
        <is>
          <t>中芯国际</t>
        </is>
      </c>
      <c r="D25" s="17" t="n">
        <v>300</v>
      </c>
      <c r="E25" s="18" t="n">
        <v>145.6897</v>
      </c>
      <c r="F25" s="18" t="n">
        <v>155.55</v>
      </c>
      <c r="G25" s="22">
        <f>D25*F25</f>
        <v/>
      </c>
      <c r="H25" s="23">
        <f>D25*(F25-E25)</f>
        <v/>
      </c>
      <c r="I25" s="24">
        <f>IFERROR(H25/K25,"")</f>
        <v/>
      </c>
      <c r="J25" s="25" t="n">
        <v>0.048204</v>
      </c>
      <c r="K25" s="22">
        <f>D25*E25</f>
        <v/>
      </c>
      <c r="L25" s="13" t="inlineStr"/>
    </row>
  </sheetData>
  <autoFilter ref="A1:L25"/>
  <conditionalFormatting sqref="H2:I25">
    <cfRule type="cellIs" priority="1" operator="lessThan" dxfId="2">
      <formula>0</formula>
    </cfRule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  <col width="12" customWidth="1" min="10" max="10"/>
    <col width="12" customWidth="1" min="11" max="11"/>
    <col width="12" customWidth="1" min="12" max="12"/>
    <col width="10" customWidth="1" min="13" max="13"/>
    <col width="52" customWidth="1" min="14" max="14"/>
  </cols>
  <sheetData>
    <row r="1">
      <c r="A1" s="26" t="inlineStr">
        <is>
          <t>date</t>
        </is>
      </c>
      <c r="B1" s="26" t="inlineStr">
        <is>
          <t>cash</t>
        </is>
      </c>
      <c r="C1" s="26" t="inlineStr">
        <is>
          <t>total_market_value</t>
        </is>
      </c>
      <c r="D1" s="26" t="inlineStr">
        <is>
          <t>total_equity</t>
        </is>
      </c>
      <c r="E1" s="26" t="inlineStr">
        <is>
          <t>daily_pnl</t>
        </is>
      </c>
      <c r="F1" s="26" t="inlineStr">
        <is>
          <t>daily_return_%</t>
        </is>
      </c>
      <c r="G1" s="26" t="inlineStr">
        <is>
          <t>cumulative_return_%</t>
        </is>
      </c>
      <c r="H1" s="26" t="inlineStr">
        <is>
          <t>max_drawdown_%</t>
        </is>
      </c>
      <c r="I1" s="26" t="inlineStr">
        <is>
          <t>current_drawdown_%</t>
        </is>
      </c>
      <c r="J1" s="26" t="inlineStr">
        <is>
          <t>var_95%</t>
        </is>
      </c>
      <c r="K1" s="26" t="inlineStr">
        <is>
          <t>exposure_%</t>
        </is>
      </c>
      <c r="L1" s="26" t="inlineStr">
        <is>
          <t>risk_status</t>
        </is>
      </c>
      <c r="M1" s="26" t="inlineStr">
        <is>
          <t>leverage</t>
        </is>
      </c>
      <c r="N1" s="26" t="inlineStr">
        <is>
          <t>note</t>
        </is>
      </c>
    </row>
    <row r="2">
      <c r="A2" s="16" t="inlineStr">
        <is>
          <t>2026-06-23</t>
        </is>
      </c>
      <c r="B2" s="22" t="n">
        <v>693805.47</v>
      </c>
      <c r="C2" s="22" t="n">
        <v>281629</v>
      </c>
      <c r="D2" s="22">
        <f>B2+C2</f>
        <v/>
      </c>
      <c r="E2" s="23" t="n">
        <v>0</v>
      </c>
      <c r="F2" s="24" t="n">
        <v>0</v>
      </c>
      <c r="G2" s="24">
        <f>IFERROR(D2/'配置表'!$B$2-1,"")</f>
        <v/>
      </c>
      <c r="H2" s="24" t="n">
        <v>-0.024566</v>
      </c>
      <c r="I2" s="24">
        <f>IFERROR(D2/MAX($D$2:D2)-1,"")</f>
        <v/>
      </c>
      <c r="J2" s="25" t="n"/>
      <c r="K2" s="25">
        <f>IFERROR(C2/D2,"")</f>
        <v/>
      </c>
      <c r="L2" s="13">
        <f>IF(I2&lt;=-'配置表'!$B$3,"STOP",IF(I2&lt;=-'配置表'!$B$4,"WARNING","OK"))</f>
        <v/>
      </c>
      <c r="M2" s="27" t="n">
        <v>0</v>
      </c>
      <c r="N2" s="13" t="inlineStr">
        <is>
          <t>按用户要求在5类组合基础上新增AI科技股002230；已更正纸面成交时间到A股午后连续竞价时段；每日回测纳入后续自动化；训练/研究，不构成投资建议。</t>
        </is>
      </c>
    </row>
    <row r="3">
      <c r="A3" s="16" t="inlineStr">
        <is>
          <t>2026-06-24</t>
        </is>
      </c>
      <c r="B3" s="22" t="n">
        <v>747105.91</v>
      </c>
      <c r="C3" s="22" t="n">
        <v>222492.1</v>
      </c>
      <c r="D3" s="22">
        <f>B3+C3</f>
        <v/>
      </c>
      <c r="E3" s="23">
        <f>D3-D2</f>
        <v/>
      </c>
      <c r="F3" s="24">
        <f>IFERROR(E3/D2,"")</f>
        <v/>
      </c>
      <c r="G3" s="24">
        <f>IFERROR(D3/'配置表'!$B$2-1,"")</f>
        <v/>
      </c>
      <c r="H3" s="24" t="n">
        <v>-0.030402</v>
      </c>
      <c r="I3" s="24">
        <f>IFERROR(D3/MAX($D$2:D3)-1,"")</f>
        <v/>
      </c>
      <c r="J3" s="25" t="n"/>
      <c r="K3" s="25">
        <f>IFERROR(C3/D3,"")</f>
        <v/>
      </c>
      <c r="L3" s="13">
        <f>IF(I3&lt;=-'配置表'!$B$3,"STOP",IF(I3&lt;=-'配置表'!$B$4,"WARNING","OK"))</f>
        <v/>
      </c>
      <c r="M3" s="27" t="n">
        <v>0</v>
      </c>
      <c r="N3" s="13" t="inlineStr">
        <is>
          <t>按用户要求延续昨日5笔纸面交易频次：弱势持仓降风险，唯一强势688981小幅加仓；训练/研究，不构成投资建议；10:30复核收回今开和加仓有效性。</t>
        </is>
      </c>
    </row>
    <row r="4">
      <c r="A4" s="16" t="inlineStr">
        <is>
          <t>2026-06-25</t>
        </is>
      </c>
      <c r="B4" s="22" t="n">
        <v>747105.91</v>
      </c>
      <c r="C4" s="22" t="n">
        <v>224213</v>
      </c>
      <c r="D4" s="22">
        <f>B4+C4</f>
        <v/>
      </c>
      <c r="E4" s="23">
        <f>D4-D3</f>
        <v/>
      </c>
      <c r="F4" s="24">
        <f>IFERROR(E4/D3,"")</f>
        <v/>
      </c>
      <c r="G4" s="24">
        <f>IFERROR(D4/'配置表'!$B$2-1,"")</f>
        <v/>
      </c>
      <c r="H4" s="24" t="n">
        <v>-0.028681</v>
      </c>
      <c r="I4" s="24">
        <f>IFERROR(D4/MAX($D$2:D4)-1,"")</f>
        <v/>
      </c>
      <c r="J4" s="25" t="n"/>
      <c r="K4" s="25">
        <f>IFERROR(C4/D4,"")</f>
        <v/>
      </c>
      <c r="L4" s="13">
        <f>IF(I4&lt;=-'配置表'!$B$3,"STOP",IF(I4&lt;=-'配置表'!$B$4,"WARNING","OK"))</f>
        <v/>
      </c>
      <c r="M4" s="27" t="n">
        <v>0</v>
      </c>
      <c r="N4" s="13" t="inlineStr">
        <is>
          <t>盘后每日风险监控：6只纸面持仓估值更新；无新增纸面成交；T+1可卖仓位为既有持仓全部可卖，今日无买入；600519仍弱于MA5/MA10/MA20/MA60且近120日回撤超20%，只做分层减仓纪律观察；300750修复但未站稳MA20；688981为普通日线回退，复权一致性需二次确认；训练/研究，不构成投资建议。；已按上一交易日2026-06-24期末权益修正当日盈亏口径。</t>
        </is>
      </c>
    </row>
    <row r="5">
      <c r="A5" s="16" t="inlineStr">
        <is>
          <t>2026-06-27</t>
        </is>
      </c>
      <c r="B5" s="22" t="n">
        <v>841254.12</v>
      </c>
      <c r="C5" s="22" t="n">
        <v>126814.5</v>
      </c>
      <c r="D5" s="22">
        <f>B5+C5</f>
        <v/>
      </c>
      <c r="E5" s="23">
        <f>D5-D4</f>
        <v/>
      </c>
      <c r="F5" s="24">
        <f>IFERROR(E5/D4,"")</f>
        <v/>
      </c>
      <c r="G5" s="24">
        <f>IFERROR(D5/'配置表'!$B$2-1,"")</f>
        <v/>
      </c>
      <c r="H5" s="24" t="n">
        <v>-0.031931</v>
      </c>
      <c r="I5" s="24">
        <f>IFERROR(D5/MAX($D$2:D5)-1,"")</f>
        <v/>
      </c>
      <c r="J5" s="25" t="n"/>
      <c r="K5" s="25">
        <f>IFERROR(C5/D5,"")</f>
        <v/>
      </c>
      <c r="L5" s="13">
        <f>IF(I5&lt;=-'配置表'!$B$3,"STOP",IF(I5&lt;=-'配置表'!$B$4,"WARNING","OK"))</f>
        <v/>
      </c>
      <c r="M5" s="27" t="n">
        <v>0</v>
      </c>
      <c r="N5" s="13" t="inlineStr">
        <is>
          <t>daily_pipeline 纸面收盘结算；非真实交易</t>
        </is>
      </c>
    </row>
  </sheetData>
  <autoFilter ref="A1:N5"/>
  <conditionalFormatting sqref="L2:L5">
    <cfRule type="expression" priority="1" dxfId="0">
      <formula>OR($L2="FILLED",$L2="OK",$L2="CLOSED")</formula>
    </cfRule>
    <cfRule type="expression" priority="2" dxfId="1">
      <formula>OR($L2="WARNING",$L2="PENDING",$L2="IN_PROGRESS")</formula>
    </cfRule>
    <cfRule type="expression" priority="3" dxfId="2">
      <formula>OR($L2="STOP",$L2="BLOCKED",$L2="OPEN",$L2="FAILED")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2" customWidth="1" min="4" max="4"/>
    <col width="12" customWidth="1" min="5" max="5"/>
    <col width="10" customWidth="1" min="6" max="6"/>
    <col width="14" customWidth="1" min="7" max="7"/>
    <col width="14" customWidth="1" min="8" max="8"/>
    <col width="18" customWidth="1" min="9" max="9"/>
    <col width="18" customWidth="1" min="10" max="10"/>
    <col width="10" customWidth="1" min="11" max="11"/>
    <col width="52" customWidth="1" min="12" max="12"/>
  </cols>
  <sheetData>
    <row r="1">
      <c r="A1" s="28" t="inlineStr">
        <is>
          <t>signal_id</t>
        </is>
      </c>
      <c r="B1" s="28" t="inlineStr">
        <is>
          <t>signal_time</t>
        </is>
      </c>
      <c r="C1" s="28" t="inlineStr">
        <is>
          <t>symbol</t>
        </is>
      </c>
      <c r="D1" s="28" t="inlineStr">
        <is>
          <t>strategy_id</t>
        </is>
      </c>
      <c r="E1" s="28" t="inlineStr">
        <is>
          <t>signal_type</t>
        </is>
      </c>
      <c r="F1" s="28" t="inlineStr">
        <is>
          <t>score</t>
        </is>
      </c>
      <c r="G1" s="28" t="inlineStr">
        <is>
          <t>entry_threshold</t>
        </is>
      </c>
      <c r="H1" s="28" t="inlineStr">
        <is>
          <t>exit_threshold</t>
        </is>
      </c>
      <c r="I1" s="28" t="inlineStr">
        <is>
          <t>suggested_action</t>
        </is>
      </c>
      <c r="J1" s="28" t="inlineStr">
        <is>
          <t>actual_action</t>
        </is>
      </c>
      <c r="K1" s="28" t="inlineStr">
        <is>
          <t>valid</t>
        </is>
      </c>
      <c r="L1" s="28" t="inlineStr">
        <is>
          <t>reason</t>
        </is>
      </c>
    </row>
    <row r="2">
      <c r="A2" s="13" t="inlineStr">
        <is>
          <t>S20260605001</t>
        </is>
      </c>
      <c r="B2" s="20" t="inlineStr">
        <is>
          <t>2026-06-05 13:00</t>
        </is>
      </c>
      <c r="C2" s="13" t="inlineStr">
        <is>
          <t>000001</t>
        </is>
      </c>
      <c r="D2" s="13" t="inlineStr">
        <is>
          <t>纸面买入主仓</t>
        </is>
      </c>
      <c r="E2" s="13" t="inlineStr">
        <is>
          <t>ENTRY</t>
        </is>
      </c>
      <c r="F2" s="19" t="n"/>
      <c r="G2" s="19" t="n"/>
      <c r="H2" s="19" t="n"/>
      <c r="I2" s="13" t="inlineStr">
        <is>
          <t>13:00若强势延续则纸面买入</t>
        </is>
      </c>
      <c r="J2" s="13" t="inlineStr">
        <is>
          <t>13:00若强势延续则纸面买入</t>
        </is>
      </c>
      <c r="K2" s="13" t="inlineStr">
        <is>
          <t>REVIEW</t>
        </is>
      </c>
      <c r="L2" s="13" t="inlineStr">
        <is>
          <t>维持强于池子；不跌回11.02；量能不恶化</t>
        </is>
      </c>
    </row>
    <row r="3">
      <c r="A3" s="13" t="inlineStr">
        <is>
          <t>S20260605002</t>
        </is>
      </c>
      <c r="B3" s="20" t="inlineStr">
        <is>
          <t>2026-06-05 13:00</t>
        </is>
      </c>
      <c r="C3" s="13" t="inlineStr">
        <is>
          <t>000858</t>
        </is>
      </c>
      <c r="D3" s="13" t="inlineStr">
        <is>
          <t>纸面买入副仓</t>
        </is>
      </c>
      <c r="E3" s="13" t="inlineStr">
        <is>
          <t>ENTRY</t>
        </is>
      </c>
      <c r="F3" s="19" t="n"/>
      <c r="G3" s="19" t="n"/>
      <c r="H3" s="19" t="n"/>
      <c r="I3" s="13" t="inlineStr">
        <is>
          <t>13:00只在反弹延续时纸面买入</t>
        </is>
      </c>
      <c r="J3" s="13" t="inlineStr">
        <is>
          <t>13:00只在反弹延续时纸面买入</t>
        </is>
      </c>
      <c r="K3" s="13" t="inlineStr">
        <is>
          <t>REVIEW</t>
        </is>
      </c>
      <c r="L3" s="13" t="inlineStr">
        <is>
          <t>不破81.52；反弹有承接；不能冲高回落</t>
        </is>
      </c>
    </row>
    <row r="4">
      <c r="A4" s="13" t="inlineStr">
        <is>
          <t>S20260605003</t>
        </is>
      </c>
      <c r="B4" s="20" t="inlineStr">
        <is>
          <t>2026-06-05 13:00</t>
        </is>
      </c>
      <c r="C4" s="13" t="inlineStr">
        <is>
          <t>600000</t>
        </is>
      </c>
      <c r="D4" s="13" t="inlineStr">
        <is>
          <t>纸面买入小仓</t>
        </is>
      </c>
      <c r="E4" s="13" t="inlineStr">
        <is>
          <t>ENTRY</t>
        </is>
      </c>
      <c r="F4" s="19" t="n"/>
      <c r="G4" s="19" t="n"/>
      <c r="H4" s="19" t="n"/>
      <c r="I4" s="13" t="inlineStr">
        <is>
          <t>13:00小仓纸面验证</t>
        </is>
      </c>
      <c r="J4" s="13" t="inlineStr">
        <is>
          <t>13:00小仓纸面验证</t>
        </is>
      </c>
      <c r="K4" s="13" t="inlineStr">
        <is>
          <t>REVIEW</t>
        </is>
      </c>
      <c r="L4" s="13" t="inlineStr">
        <is>
          <t>维持9.23上方；波动低；不弱于银行样本</t>
        </is>
      </c>
    </row>
    <row r="5">
      <c r="A5" s="13" t="inlineStr">
        <is>
          <t>S20260605004</t>
        </is>
      </c>
      <c r="B5" s="20" t="inlineStr">
        <is>
          <t>2026-06-05</t>
        </is>
      </c>
      <c r="C5" s="13" t="inlineStr">
        <is>
          <t>600519</t>
        </is>
      </c>
      <c r="D5" s="13" t="inlineStr">
        <is>
          <t>不买/对照</t>
        </is>
      </c>
      <c r="E5" s="13" t="inlineStr">
        <is>
          <t>ENTRY</t>
        </is>
      </c>
      <c r="F5" s="19" t="n"/>
      <c r="G5" s="19" t="n"/>
      <c r="H5" s="19" t="n"/>
      <c r="I5" s="13" t="inlineStr">
        <is>
          <t>连续持仓估值，不日结卖出</t>
        </is>
      </c>
      <c r="J5" s="13" t="inlineStr">
        <is>
          <t>连续持仓估值，不日结卖出</t>
        </is>
      </c>
      <c r="K5" s="13" t="inlineStr">
        <is>
          <t>REVIEW</t>
        </is>
      </c>
      <c r="L5" s="13" t="inlineStr">
        <is>
          <t>无</t>
        </is>
      </c>
    </row>
    <row r="6">
      <c r="A6" s="13" t="inlineStr">
        <is>
          <t>S20260605005</t>
        </is>
      </c>
      <c r="B6" s="20" t="inlineStr">
        <is>
          <t>2026-06-05 13:00</t>
        </is>
      </c>
      <c r="C6" s="13" t="inlineStr"/>
      <c r="D6" s="13" t="inlineStr"/>
      <c r="E6" s="13" t="inlineStr">
        <is>
          <t>HOLD</t>
        </is>
      </c>
      <c r="F6" s="19" t="n"/>
      <c r="G6" s="19" t="n"/>
      <c r="H6" s="19" t="n"/>
      <c r="I6" s="13" t="inlineStr">
        <is>
          <t>13:00纸面建仓完成</t>
        </is>
      </c>
      <c r="J6" s="13" t="inlineStr">
        <is>
          <t>13:00纸面建仓完成</t>
        </is>
      </c>
      <c r="K6" s="13" t="inlineStr">
        <is>
          <t>REVIEW</t>
        </is>
      </c>
      <c r="L6" s="13" t="inlineStr">
        <is>
          <t>历史Excel盘中组合快照，非正式日结权益行</t>
        </is>
      </c>
    </row>
    <row r="7">
      <c r="A7" s="13" t="inlineStr">
        <is>
          <t>S20260605006</t>
        </is>
      </c>
      <c r="B7" s="20" t="inlineStr">
        <is>
          <t>2026-06-05 13:32</t>
        </is>
      </c>
      <c r="C7" s="13" t="inlineStr"/>
      <c r="D7" s="13" t="inlineStr"/>
      <c r="E7" s="13" t="inlineStr">
        <is>
          <t>HOLD</t>
        </is>
      </c>
      <c r="F7" s="19" t="n"/>
      <c r="G7" s="19" t="n"/>
      <c r="H7" s="19" t="n"/>
      <c r="I7" s="13" t="inlineStr">
        <is>
          <t>13:30复查：不加仓，保留现金</t>
        </is>
      </c>
      <c r="J7" s="13" t="inlineStr">
        <is>
          <t>13:30复查：不加仓，保留现金</t>
        </is>
      </c>
      <c r="K7" s="13" t="inlineStr">
        <is>
          <t>REVIEW</t>
        </is>
      </c>
      <c r="L7" s="13" t="inlineStr">
        <is>
          <t>历史Excel盘中组合快照，非正式日结权益行</t>
        </is>
      </c>
    </row>
    <row r="8">
      <c r="A8" s="13" t="inlineStr">
        <is>
          <t>S20260605007</t>
        </is>
      </c>
      <c r="B8" s="20" t="inlineStr">
        <is>
          <t>2026-06-05 13:00</t>
        </is>
      </c>
      <c r="C8" s="13" t="inlineStr">
        <is>
          <t>000001</t>
        </is>
      </c>
      <c r="D8" s="13" t="inlineStr"/>
      <c r="E8" s="13" t="inlineStr">
        <is>
          <t>ENTRY</t>
        </is>
      </c>
      <c r="F8" s="19" t="n"/>
      <c r="G8" s="19" t="n"/>
      <c r="H8" s="19" t="n"/>
      <c r="I8" s="13" t="inlineStr">
        <is>
          <t>买入</t>
        </is>
      </c>
      <c r="J8" s="13" t="inlineStr">
        <is>
          <t>买入</t>
        </is>
      </c>
      <c r="K8" s="13" t="inlineStr">
        <is>
          <t>REVIEW</t>
        </is>
      </c>
      <c r="L8" s="13" t="inlineStr">
        <is>
          <t>仍为观察池中唯一尝试转强样本，执行预设主攻仓。</t>
        </is>
      </c>
    </row>
    <row r="9">
      <c r="A9" s="13" t="inlineStr">
        <is>
          <t>S20260605008</t>
        </is>
      </c>
      <c r="B9" s="20" t="inlineStr">
        <is>
          <t>2026-06-05 13:32</t>
        </is>
      </c>
      <c r="C9" s="13" t="inlineStr">
        <is>
          <t>000001</t>
        </is>
      </c>
      <c r="D9" s="13" t="inlineStr"/>
      <c r="E9" s="13" t="inlineStr">
        <is>
          <t>HOLD</t>
        </is>
      </c>
      <c r="F9" s="19" t="n"/>
      <c r="G9" s="19" t="n"/>
      <c r="H9" s="19" t="n"/>
      <c r="I9" s="13" t="inlineStr">
        <is>
          <t>持有，不加仓</t>
        </is>
      </c>
      <c r="J9" s="13" t="inlineStr">
        <is>
          <t>持有，不加仓</t>
        </is>
      </c>
      <c r="K9" s="13" t="inlineStr">
        <is>
          <t>REVIEW</t>
        </is>
      </c>
      <c r="L9" s="13" t="inlineStr">
        <is>
          <t>较13:00买入价回落，暂不触发止损，但不能加仓。</t>
        </is>
      </c>
    </row>
    <row r="10">
      <c r="A10" s="13" t="inlineStr">
        <is>
          <t>S20260605009</t>
        </is>
      </c>
      <c r="B10" s="20" t="inlineStr">
        <is>
          <t>2026-06-05 13:00</t>
        </is>
      </c>
      <c r="C10" s="13" t="inlineStr">
        <is>
          <t>000858</t>
        </is>
      </c>
      <c r="D10" s="13" t="inlineStr"/>
      <c r="E10" s="13" t="inlineStr">
        <is>
          <t>ENTRY</t>
        </is>
      </c>
      <c r="F10" s="19" t="n">
        <v>13</v>
      </c>
      <c r="G10" s="19" t="n"/>
      <c r="H10" s="19" t="n"/>
      <c r="I10" s="13" t="inlineStr">
        <is>
          <t>买入</t>
        </is>
      </c>
      <c r="J10" s="13" t="inlineStr">
        <is>
          <t>买入</t>
        </is>
      </c>
      <c r="K10" s="13" t="inlineStr">
        <is>
          <t>REVIEW</t>
        </is>
      </c>
      <c r="L10" s="13" t="inlineStr">
        <is>
          <t>评分最高但仍弱势，按预设只给副攻反弹仓。</t>
        </is>
      </c>
    </row>
    <row r="11">
      <c r="A11" s="13" t="inlineStr">
        <is>
          <t>S20260605010</t>
        </is>
      </c>
      <c r="B11" s="20" t="inlineStr">
        <is>
          <t>2026-06-05 13:32</t>
        </is>
      </c>
      <c r="C11" s="13" t="inlineStr">
        <is>
          <t>000858</t>
        </is>
      </c>
      <c r="D11" s="13" t="inlineStr"/>
      <c r="E11" s="13" t="inlineStr">
        <is>
          <t>HOLD</t>
        </is>
      </c>
      <c r="F11" s="19" t="n"/>
      <c r="G11" s="19" t="n"/>
      <c r="H11" s="19" t="n"/>
      <c r="I11" s="13" t="inlineStr">
        <is>
          <t>持有，不加仓</t>
        </is>
      </c>
      <c r="J11" s="13" t="inlineStr">
        <is>
          <t>持有，不加仓</t>
        </is>
      </c>
      <c r="K11" s="13" t="inlineStr">
        <is>
          <t>REVIEW</t>
        </is>
      </c>
      <c r="L11" s="13" t="inlineStr">
        <is>
          <t>较13:00买入价回落，暂不触发止损，但不能加仓。</t>
        </is>
      </c>
    </row>
    <row r="12">
      <c r="A12" s="13" t="inlineStr">
        <is>
          <t>S20260605011</t>
        </is>
      </c>
      <c r="B12" s="20" t="inlineStr">
        <is>
          <t>2026-06-05 13:00</t>
        </is>
      </c>
      <c r="C12" s="13" t="inlineStr">
        <is>
          <t>300750</t>
        </is>
      </c>
      <c r="D12" s="13" t="inlineStr"/>
      <c r="E12" s="13" t="inlineStr">
        <is>
          <t>HOLD</t>
        </is>
      </c>
      <c r="F12" s="19" t="n"/>
      <c r="G12" s="19" t="n"/>
      <c r="H12" s="19" t="n"/>
      <c r="I12" s="13" t="inlineStr">
        <is>
          <t>观察</t>
        </is>
      </c>
      <c r="J12" s="13" t="inlineStr">
        <is>
          <t>观察</t>
        </is>
      </c>
      <c r="K12" s="13" t="inlineStr">
        <is>
          <t>REVIEW</t>
        </is>
      </c>
      <c r="L12" s="13" t="inlineStr">
        <is>
          <t>13:00仅持平，未显示明显转强，条件仓不触发。</t>
        </is>
      </c>
    </row>
    <row r="13">
      <c r="A13" s="13" t="inlineStr">
        <is>
          <t>S20260605012</t>
        </is>
      </c>
      <c r="B13" s="20" t="inlineStr">
        <is>
          <t>2026-06-05 13:32</t>
        </is>
      </c>
      <c r="C13" s="13" t="inlineStr">
        <is>
          <t>300750</t>
        </is>
      </c>
      <c r="D13" s="13" t="inlineStr"/>
      <c r="E13" s="13" t="inlineStr">
        <is>
          <t>HOLD</t>
        </is>
      </c>
      <c r="F13" s="19" t="n"/>
      <c r="G13" s="19" t="n"/>
      <c r="H13" s="19" t="n"/>
      <c r="I13" s="13" t="inlineStr">
        <is>
          <t>继续观察</t>
        </is>
      </c>
      <c r="J13" s="13" t="inlineStr">
        <is>
          <t>继续观察</t>
        </is>
      </c>
      <c r="K13" s="13" t="inlineStr">
        <is>
          <t>REVIEW</t>
        </is>
      </c>
      <c r="L13" s="13" t="inlineStr">
        <is>
          <t>条件仓仍未触发。</t>
        </is>
      </c>
    </row>
    <row r="14">
      <c r="A14" s="13" t="inlineStr">
        <is>
          <t>S20260605013</t>
        </is>
      </c>
      <c r="B14" s="20" t="inlineStr">
        <is>
          <t>2026-06-05 13:00</t>
        </is>
      </c>
      <c r="C14" s="13" t="inlineStr">
        <is>
          <t>600000</t>
        </is>
      </c>
      <c r="D14" s="13" t="inlineStr"/>
      <c r="E14" s="13" t="inlineStr">
        <is>
          <t>ENTRY</t>
        </is>
      </c>
      <c r="F14" s="19" t="n"/>
      <c r="G14" s="19" t="n"/>
      <c r="H14" s="19" t="n"/>
      <c r="I14" s="13" t="inlineStr">
        <is>
          <t>买入</t>
        </is>
      </c>
      <c r="J14" s="13" t="inlineStr">
        <is>
          <t>买入</t>
        </is>
      </c>
      <c r="K14" s="13" t="inlineStr">
        <is>
          <t>REVIEW</t>
        </is>
      </c>
      <c r="L14" s="13" t="inlineStr">
        <is>
          <t>低波动稳定仓，按预设小仓验证。</t>
        </is>
      </c>
    </row>
    <row r="15">
      <c r="A15" s="13" t="inlineStr">
        <is>
          <t>S20260605014</t>
        </is>
      </c>
      <c r="B15" s="20" t="inlineStr">
        <is>
          <t>2026-06-05 13:32</t>
        </is>
      </c>
      <c r="C15" s="13" t="inlineStr">
        <is>
          <t>600000</t>
        </is>
      </c>
      <c r="D15" s="13" t="inlineStr"/>
      <c r="E15" s="13" t="inlineStr">
        <is>
          <t>HOLD</t>
        </is>
      </c>
      <c r="F15" s="19" t="n"/>
      <c r="G15" s="19" t="n"/>
      <c r="H15" s="19" t="n"/>
      <c r="I15" s="13" t="inlineStr">
        <is>
          <t>持有，不加仓</t>
        </is>
      </c>
      <c r="J15" s="13" t="inlineStr">
        <is>
          <t>持有，不加仓</t>
        </is>
      </c>
      <c r="K15" s="13" t="inlineStr">
        <is>
          <t>REVIEW</t>
        </is>
      </c>
      <c r="L15" s="13" t="inlineStr">
        <is>
          <t>持仓中最强，但分数仍49.5且只是弱势反弹，现金不追。</t>
        </is>
      </c>
    </row>
    <row r="16">
      <c r="A16" s="13" t="inlineStr">
        <is>
          <t>S20260609015</t>
        </is>
      </c>
      <c r="B16" s="20" t="inlineStr">
        <is>
          <t>2026-06-09</t>
        </is>
      </c>
      <c r="C16" s="13" t="inlineStr">
        <is>
          <t>600519</t>
        </is>
      </c>
      <c r="D16" s="13" t="inlineStr"/>
      <c r="E16" s="13" t="inlineStr">
        <is>
          <t>HOLD</t>
        </is>
      </c>
      <c r="F16" s="19" t="n"/>
      <c r="G16" s="19" t="n"/>
      <c r="H16" s="19" t="n"/>
      <c r="I16" s="13" t="inlineStr">
        <is>
          <t>持有/估值</t>
        </is>
      </c>
      <c r="J16" s="13" t="inlineStr">
        <is>
          <t>持有/估值</t>
        </is>
      </c>
      <c r="K16" s="13" t="inlineStr">
        <is>
          <t>REVIEW</t>
        </is>
      </c>
      <c r="L16" s="13" t="inlineStr">
        <is>
          <t>未触发用户确认卖出；只做训练/研究估值</t>
        </is>
      </c>
    </row>
    <row r="17">
      <c r="A17" s="13" t="inlineStr">
        <is>
          <t>S20260623016</t>
        </is>
      </c>
      <c r="B17" s="20" t="inlineStr">
        <is>
          <t>2026-06-23 12:50</t>
        </is>
      </c>
      <c r="C17" s="13" t="inlineStr">
        <is>
          <t>PORTFOLIO</t>
        </is>
      </c>
      <c r="D17" s="13" t="inlineStr">
        <is>
          <t>daily-portfolio-backtest-v1</t>
        </is>
      </c>
      <c r="E17" s="13" t="inlineStr">
        <is>
          <t>RESEARCH</t>
        </is>
      </c>
      <c r="F17" s="19" t="n"/>
      <c r="G17" s="19" t="n"/>
      <c r="H17" s="19" t="n"/>
      <c r="I17" s="13" t="inlineStr">
        <is>
          <t>每日组合回测</t>
        </is>
      </c>
      <c r="J17" s="13" t="inlineStr">
        <is>
          <t>每日组合回测</t>
        </is>
      </c>
      <c r="K17" s="13" t="inlineStr">
        <is>
          <t>TRUE</t>
        </is>
      </c>
      <c r="L17" s="13" t="inlineStr">
        <is>
          <t>用户要求坚持每日回测；本行按A股T+1日频调仓口径更新，区分回测信号与真实纸面成交。</t>
        </is>
      </c>
    </row>
    <row r="18">
      <c r="A18" s="13" t="inlineStr">
        <is>
          <t>S20260625017</t>
        </is>
      </c>
      <c r="B18" s="20" t="inlineStr">
        <is>
          <t>2026-06-25 15:40</t>
        </is>
      </c>
      <c r="C18" s="13" t="inlineStr">
        <is>
          <t>002230</t>
        </is>
      </c>
      <c r="D18" s="13" t="inlineStr">
        <is>
          <t>score-standard-v1</t>
        </is>
      </c>
      <c r="E18" s="13" t="inlineStr">
        <is>
          <t>EXIT</t>
        </is>
      </c>
      <c r="F18" s="19" t="n">
        <v>43.1</v>
      </c>
      <c r="G18" s="19" t="n">
        <v>58</v>
      </c>
      <c r="H18" s="19" t="n">
        <v>45</v>
      </c>
      <c r="I18" s="13" t="inlineStr">
        <is>
          <t>明日按回测策略分层减仓计划</t>
        </is>
      </c>
      <c r="J18" s="13" t="inlineStr">
        <is>
          <t>明日按回测策略分层减仓计划</t>
        </is>
      </c>
      <c r="K18" s="13" t="inlineStr">
        <is>
          <t>REVIEW</t>
        </is>
      </c>
      <c r="L18" s="13" t="inlineStr">
        <is>
          <t>复用回测交易策略：评分43.1低于退出阈值45.0，生成分层减仓100股计划；15:00后不得补记今日成交，计划最早下一交易日09:30后按有效交易时段执行。</t>
        </is>
      </c>
    </row>
    <row r="19">
      <c r="A19" s="13" t="inlineStr">
        <is>
          <t>S20260625018</t>
        </is>
      </c>
      <c r="B19" s="20" t="inlineStr">
        <is>
          <t>2026-06-25 15:40</t>
        </is>
      </c>
      <c r="C19" s="13" t="inlineStr">
        <is>
          <t>PORTFOLIO</t>
        </is>
      </c>
      <c r="D19" s="13" t="inlineStr">
        <is>
          <t>score-standard-v1</t>
        </is>
      </c>
      <c r="E19" s="13" t="inlineStr">
        <is>
          <t>HOLD</t>
        </is>
      </c>
      <c r="F19" s="19" t="n">
        <v>1</v>
      </c>
      <c r="G19" s="19" t="n"/>
      <c r="H19" s="19" t="n"/>
      <c r="I19" s="13" t="inlineStr">
        <is>
          <t>启用回测策略为纸面执行策略</t>
        </is>
      </c>
      <c r="J19" s="13" t="inlineStr">
        <is>
          <t>启用回测策略为纸面执行策略</t>
        </is>
      </c>
      <c r="K19" s="13" t="inlineStr">
        <is>
          <t>TRUE</t>
        </is>
      </c>
      <c r="L19" s="13" t="inlineStr">
        <is>
          <t>用户明确指出可以复用回测交易策略，修正此前仅风险监控不交易的保守解释；后续纸面执行以score-standard-v1为默认。</t>
        </is>
      </c>
    </row>
    <row r="20">
      <c r="A20" s="13" t="inlineStr">
        <is>
          <t>S20260630019</t>
        </is>
      </c>
      <c r="B20" s="20" t="inlineStr">
        <is>
          <t>2026-06-30 10:02</t>
        </is>
      </c>
      <c r="C20" s="13" t="inlineStr">
        <is>
          <t>603019</t>
        </is>
      </c>
      <c r="D20" s="13" t="inlineStr">
        <is>
          <t>shenzhen-intern-trail-v1</t>
        </is>
      </c>
      <c r="E20" s="13" t="inlineStr">
        <is>
          <t>ENTRY</t>
        </is>
      </c>
      <c r="F20" s="19" t="n"/>
      <c r="G20" s="19" t="n"/>
      <c r="H20" s="19" t="n"/>
      <c r="I20" s="13" t="inlineStr">
        <is>
          <t>深圳实习生选股观察计划</t>
        </is>
      </c>
      <c r="J20" s="13" t="inlineStr">
        <is>
          <t>深圳实习生选股观察计划</t>
        </is>
      </c>
      <c r="K20" s="13" t="inlineStr">
        <is>
          <t>REVIEW</t>
        </is>
      </c>
      <c r="L20" s="13" t="inlineStr">
        <is>
          <t>同板块已有涨停个股，龙二跟随：A类突破买点; 新闻热度 3.0; 通过：量能4/11/117多头排列，股价均线多头排列 (MA5&gt;MA10&gt;MA20)，大单占比 15.8%</t>
        </is>
      </c>
    </row>
  </sheetData>
  <autoFilter ref="A1:L20"/>
  <dataValidations count="2">
    <dataValidation sqref="E2:E1048576" showDropDown="0" showInputMessage="0" showErrorMessage="0" allowBlank="1" type="list">
      <formula1>"ENTRY,EXIT,HOLD,WATCH,RESEARCH,AUDIT"</formula1>
    </dataValidation>
    <dataValidation sqref="K2:K1048576" showDropDown="0" showInputMessage="0" showErrorMessage="0" allowBlank="1" type="list">
      <formula1>"TRUE,FALSE,REVIEW"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46" customWidth="1" min="4" max="4"/>
    <col width="18" customWidth="1" min="5" max="5"/>
    <col width="12" customWidth="1" min="6" max="6"/>
    <col width="14" customWidth="1" min="7" max="7"/>
    <col width="42" customWidth="1" min="8" max="8"/>
    <col width="12" customWidth="1" min="9" max="9"/>
    <col width="14" customWidth="1" min="10" max="10"/>
    <col width="58" customWidth="1" min="11" max="11"/>
  </cols>
  <sheetData>
    <row r="1">
      <c r="A1" s="29" t="inlineStr">
        <is>
          <t>audit_id</t>
        </is>
      </c>
      <c r="B1" s="29" t="inlineStr">
        <is>
          <t>audit_date</t>
        </is>
      </c>
      <c r="C1" s="29" t="inlineStr">
        <is>
          <t>issue_type</t>
        </is>
      </c>
      <c r="D1" s="29" t="inlineStr">
        <is>
          <t>description</t>
        </is>
      </c>
      <c r="E1" s="29" t="inlineStr">
        <is>
          <t>affected_order_id</t>
        </is>
      </c>
      <c r="F1" s="29" t="inlineStr">
        <is>
          <t>affected_date</t>
        </is>
      </c>
      <c r="G1" s="29" t="inlineStr">
        <is>
          <t>status</t>
        </is>
      </c>
      <c r="H1" s="29" t="inlineStr">
        <is>
          <t>fix_action</t>
        </is>
      </c>
      <c r="I1" s="29" t="inlineStr">
        <is>
          <t>fix_date</t>
        </is>
      </c>
      <c r="J1" s="29" t="inlineStr">
        <is>
          <t>verified_by</t>
        </is>
      </c>
      <c r="K1" s="29" t="inlineStr">
        <is>
          <t>raw_detail</t>
        </is>
      </c>
    </row>
    <row r="2">
      <c r="A2" s="13" t="inlineStr">
        <is>
          <t>A20260625001</t>
        </is>
      </c>
      <c r="B2" s="16" t="inlineStr">
        <is>
          <t>2026-06-25</t>
        </is>
      </c>
      <c r="C2" s="13" t="inlineStr">
        <is>
          <t>invalid_sell_lot</t>
        </is>
      </c>
      <c r="D2" s="13" t="inlineStr">
        <is>
          <t>300750 卖出 30 股非整手且未清仓</t>
        </is>
      </c>
      <c r="E2" s="13" t="inlineStr">
        <is>
          <t>T20260624-300750</t>
        </is>
      </c>
      <c r="F2" s="16" t="inlineStr">
        <is>
          <t>2026-06-24</t>
        </is>
      </c>
      <c r="G2" s="13" t="inlineStr">
        <is>
          <t>OPEN</t>
        </is>
      </c>
      <c r="H2" s="13" t="inlineStr">
        <is>
          <t>后续执行不得制造零股；不足一手时仅允许清仓或继续持有。</t>
        </is>
      </c>
      <c r="I2" s="16" t="inlineStr"/>
      <c r="J2" s="13" t="inlineStr">
        <is>
          <t>system</t>
        </is>
      </c>
      <c r="K2" s="13" t="inlineStr">
        <is>
          <t>{"type": "invalid_sell_lot", "csv_line": 38, "date": "2026-06-24", "symbol": "300750", "quantity": 30, "remaining": 70}</t>
        </is>
      </c>
    </row>
    <row r="3">
      <c r="A3" s="13" t="inlineStr">
        <is>
          <t>A20260625002</t>
        </is>
      </c>
      <c r="B3" s="16" t="inlineStr">
        <is>
          <t>2026-06-25</t>
        </is>
      </c>
      <c r="C3" s="13" t="inlineStr">
        <is>
          <t>odd_lot_remainder</t>
        </is>
      </c>
      <c r="D3" s="13" t="inlineStr">
        <is>
          <t>300750 卖出后剩余 70 股零股</t>
        </is>
      </c>
      <c r="E3" s="13" t="inlineStr">
        <is>
          <t>T20260624-300750</t>
        </is>
      </c>
      <c r="F3" s="16" t="inlineStr">
        <is>
          <t>2026-06-24</t>
        </is>
      </c>
      <c r="G3" s="13" t="inlineStr">
        <is>
          <t>OPEN</t>
        </is>
      </c>
      <c r="H3" s="13" t="inlineStr">
        <is>
          <t>后续执行不得制造零股；不足一手时仅允许清仓或继续持有。</t>
        </is>
      </c>
      <c r="I3" s="16" t="inlineStr"/>
      <c r="J3" s="13" t="inlineStr">
        <is>
          <t>system</t>
        </is>
      </c>
      <c r="K3" s="13" t="inlineStr">
        <is>
          <t>{"type": "odd_lot_remainder", "csv_line": 38, "date": "2026-06-24", "symbol": "300750", "quantity": 30, "remaining": 70}</t>
        </is>
      </c>
    </row>
    <row r="4">
      <c r="A4" s="13" t="inlineStr">
        <is>
          <t>A20260625003</t>
        </is>
      </c>
      <c r="B4" s="16" t="inlineStr">
        <is>
          <t>2026-06-25</t>
        </is>
      </c>
      <c r="C4" s="13" t="inlineStr">
        <is>
          <t>invalid_sell_lot</t>
        </is>
      </c>
      <c r="D4" s="13" t="inlineStr">
        <is>
          <t>600519 卖出 30 股非整手且未清仓</t>
        </is>
      </c>
      <c r="E4" s="13" t="inlineStr">
        <is>
          <t>T20260624-600519</t>
        </is>
      </c>
      <c r="F4" s="16" t="inlineStr">
        <is>
          <t>2026-06-24</t>
        </is>
      </c>
      <c r="G4" s="13" t="inlineStr">
        <is>
          <t>OPEN</t>
        </is>
      </c>
      <c r="H4" s="13" t="inlineStr">
        <is>
          <t>后续执行不得制造零股；不足一手时仅允许清仓或继续持有。</t>
        </is>
      </c>
      <c r="I4" s="16" t="inlineStr"/>
      <c r="J4" s="13" t="inlineStr">
        <is>
          <t>system</t>
        </is>
      </c>
      <c r="K4" s="13" t="inlineStr">
        <is>
          <t>{"type": "invalid_sell_lot", "csv_line": 40, "date": "2026-06-24", "symbol": "600519", "quantity": 30, "remaining": 70}</t>
        </is>
      </c>
    </row>
    <row r="5">
      <c r="A5" s="13" t="inlineStr">
        <is>
          <t>A20260625004</t>
        </is>
      </c>
      <c r="B5" s="16" t="inlineStr">
        <is>
          <t>2026-06-25</t>
        </is>
      </c>
      <c r="C5" s="13" t="inlineStr">
        <is>
          <t>odd_lot_remainder</t>
        </is>
      </c>
      <c r="D5" s="13" t="inlineStr">
        <is>
          <t>600519 卖出后剩余 70 股零股</t>
        </is>
      </c>
      <c r="E5" s="13" t="inlineStr">
        <is>
          <t>T20260624-600519</t>
        </is>
      </c>
      <c r="F5" s="16" t="inlineStr">
        <is>
          <t>2026-06-24</t>
        </is>
      </c>
      <c r="G5" s="13" t="inlineStr">
        <is>
          <t>OPEN</t>
        </is>
      </c>
      <c r="H5" s="13" t="inlineStr">
        <is>
          <t>后续执行不得制造零股；不足一手时仅允许清仓或继续持有。</t>
        </is>
      </c>
      <c r="I5" s="16" t="inlineStr"/>
      <c r="J5" s="13" t="inlineStr">
        <is>
          <t>system</t>
        </is>
      </c>
      <c r="K5" s="13" t="inlineStr">
        <is>
          <t>{"type": "odd_lot_remainder", "csv_line": 40, "date": "2026-06-24", "symbol": "600519", "quantity": 30, "remaining": 70}</t>
        </is>
      </c>
    </row>
    <row r="6">
      <c r="A6" s="13" t="inlineStr">
        <is>
          <t>A20260626005</t>
        </is>
      </c>
      <c r="B6" s="16" t="inlineStr">
        <is>
          <t>2026-06-26</t>
        </is>
      </c>
      <c r="C6" s="13" t="inlineStr">
        <is>
          <t>invalid_sell_lot</t>
        </is>
      </c>
      <c r="D6" s="13" t="inlineStr">
        <is>
          <t>300750 卖出 30 股非整手且未清仓</t>
        </is>
      </c>
      <c r="E6" s="13" t="inlineStr">
        <is>
          <t>T20260624-300750</t>
        </is>
      </c>
      <c r="F6" s="16" t="inlineStr">
        <is>
          <t>2026-06-24</t>
        </is>
      </c>
      <c r="G6" s="13" t="inlineStr">
        <is>
          <t>OPEN</t>
        </is>
      </c>
      <c r="H6" s="13" t="inlineStr">
        <is>
          <t>后续执行不得制造零股；不足一手时仅允许清仓或继续持有。</t>
        </is>
      </c>
      <c r="I6" s="16" t="inlineStr"/>
      <c r="J6" s="13" t="inlineStr">
        <is>
          <t>system</t>
        </is>
      </c>
      <c r="K6" s="13" t="inlineStr">
        <is>
          <t>{"type": "invalid_sell_lot", "csv_line": 38, "date": "2026-06-24", "symbol": "300750", "quantity": 30, "remaining": 70}</t>
        </is>
      </c>
    </row>
    <row r="7">
      <c r="A7" s="13" t="inlineStr">
        <is>
          <t>A20260626006</t>
        </is>
      </c>
      <c r="B7" s="16" t="inlineStr">
        <is>
          <t>2026-06-26</t>
        </is>
      </c>
      <c r="C7" s="13" t="inlineStr">
        <is>
          <t>odd_lot_remainder</t>
        </is>
      </c>
      <c r="D7" s="13" t="inlineStr">
        <is>
          <t>300750 卖出后剩余 70 股零股</t>
        </is>
      </c>
      <c r="E7" s="13" t="inlineStr">
        <is>
          <t>T20260624-300750</t>
        </is>
      </c>
      <c r="F7" s="16" t="inlineStr">
        <is>
          <t>2026-06-24</t>
        </is>
      </c>
      <c r="G7" s="13" t="inlineStr">
        <is>
          <t>OPEN</t>
        </is>
      </c>
      <c r="H7" s="13" t="inlineStr">
        <is>
          <t>后续执行不得制造零股；不足一手时仅允许清仓或继续持有。</t>
        </is>
      </c>
      <c r="I7" s="16" t="inlineStr"/>
      <c r="J7" s="13" t="inlineStr">
        <is>
          <t>system</t>
        </is>
      </c>
      <c r="K7" s="13" t="inlineStr">
        <is>
          <t>{"type": "odd_lot_remainder", "csv_line": 38, "date": "2026-06-24", "symbol": "300750", "quantity": 30, "remaining": 70}</t>
        </is>
      </c>
    </row>
    <row r="8">
      <c r="A8" s="13" t="inlineStr">
        <is>
          <t>A20260626007</t>
        </is>
      </c>
      <c r="B8" s="16" t="inlineStr">
        <is>
          <t>2026-06-26</t>
        </is>
      </c>
      <c r="C8" s="13" t="inlineStr">
        <is>
          <t>invalid_sell_lot</t>
        </is>
      </c>
      <c r="D8" s="13" t="inlineStr">
        <is>
          <t>600519 卖出 30 股非整手且未清仓</t>
        </is>
      </c>
      <c r="E8" s="13" t="inlineStr">
        <is>
          <t>T20260624-600519</t>
        </is>
      </c>
      <c r="F8" s="16" t="inlineStr">
        <is>
          <t>2026-06-24</t>
        </is>
      </c>
      <c r="G8" s="13" t="inlineStr">
        <is>
          <t>OPEN</t>
        </is>
      </c>
      <c r="H8" s="13" t="inlineStr">
        <is>
          <t>后续执行不得制造零股；不足一手时仅允许清仓或继续持有。</t>
        </is>
      </c>
      <c r="I8" s="16" t="inlineStr"/>
      <c r="J8" s="13" t="inlineStr">
        <is>
          <t>system</t>
        </is>
      </c>
      <c r="K8" s="13" t="inlineStr">
        <is>
          <t>{"type": "invalid_sell_lot", "csv_line": 40, "date": "2026-06-24", "symbol": "600519", "quantity": 30, "remaining": 70}</t>
        </is>
      </c>
    </row>
    <row r="9">
      <c r="A9" s="13" t="inlineStr">
        <is>
          <t>A20260626008</t>
        </is>
      </c>
      <c r="B9" s="16" t="inlineStr">
        <is>
          <t>2026-06-26</t>
        </is>
      </c>
      <c r="C9" s="13" t="inlineStr">
        <is>
          <t>odd_lot_remainder</t>
        </is>
      </c>
      <c r="D9" s="13" t="inlineStr">
        <is>
          <t>600519 卖出后剩余 70 股零股</t>
        </is>
      </c>
      <c r="E9" s="13" t="inlineStr">
        <is>
          <t>T20260624-600519</t>
        </is>
      </c>
      <c r="F9" s="16" t="inlineStr">
        <is>
          <t>2026-06-24</t>
        </is>
      </c>
      <c r="G9" s="13" t="inlineStr">
        <is>
          <t>OPEN</t>
        </is>
      </c>
      <c r="H9" s="13" t="inlineStr">
        <is>
          <t>后续执行不得制造零股；不足一手时仅允许清仓或继续持有。</t>
        </is>
      </c>
      <c r="I9" s="16" t="inlineStr"/>
      <c r="J9" s="13" t="inlineStr">
        <is>
          <t>system</t>
        </is>
      </c>
      <c r="K9" s="13" t="inlineStr">
        <is>
          <t>{"type": "odd_lot_remainder", "csv_line": 40, "date": "2026-06-24", "symbol": "600519", "quantity": 30, "remaining": 70}</t>
        </is>
      </c>
    </row>
    <row r="10">
      <c r="A10" s="13" t="inlineStr">
        <is>
          <t>A20260627009</t>
        </is>
      </c>
      <c r="B10" s="16" t="inlineStr">
        <is>
          <t>2026-06-27</t>
        </is>
      </c>
      <c r="C10" s="13" t="inlineStr">
        <is>
          <t>invalid_sell_lot</t>
        </is>
      </c>
      <c r="D10" s="13" t="inlineStr">
        <is>
          <t>600519 卖出 30 股非整手且未清仓</t>
        </is>
      </c>
      <c r="E10" s="13" t="inlineStr">
        <is>
          <t>T20260624-600519</t>
        </is>
      </c>
      <c r="F10" s="16" t="inlineStr">
        <is>
          <t>2026-06-24</t>
        </is>
      </c>
      <c r="G10" s="13" t="inlineStr">
        <is>
          <t>OPEN</t>
        </is>
      </c>
      <c r="H10" s="13" t="inlineStr">
        <is>
          <t>后续执行不得制造零股；不足一手时仅允许清仓或继续持有。</t>
        </is>
      </c>
      <c r="I10" s="16" t="inlineStr"/>
      <c r="J10" s="13" t="inlineStr">
        <is>
          <t>system</t>
        </is>
      </c>
      <c r="K10" s="13" t="inlineStr">
        <is>
          <t>{"type": "invalid_sell_lot", "csv_line": 40, "date": "2026-06-24", "symbol": "600519", "quantity": 30, "remaining": 70}</t>
        </is>
      </c>
    </row>
    <row r="11">
      <c r="A11" s="13" t="inlineStr">
        <is>
          <t>A20260627010</t>
        </is>
      </c>
      <c r="B11" s="16" t="inlineStr">
        <is>
          <t>2026-06-27</t>
        </is>
      </c>
      <c r="C11" s="13" t="inlineStr">
        <is>
          <t>odd_lot_remainder</t>
        </is>
      </c>
      <c r="D11" s="13" t="inlineStr">
        <is>
          <t>600519 卖出后剩余 70 股零股</t>
        </is>
      </c>
      <c r="E11" s="13" t="inlineStr">
        <is>
          <t>T20260624-600519</t>
        </is>
      </c>
      <c r="F11" s="16" t="inlineStr">
        <is>
          <t>2026-06-24</t>
        </is>
      </c>
      <c r="G11" s="13" t="inlineStr">
        <is>
          <t>OPEN</t>
        </is>
      </c>
      <c r="H11" s="13" t="inlineStr">
        <is>
          <t>后续执行不得制造零股；不足一手时仅允许清仓或继续持有。</t>
        </is>
      </c>
      <c r="I11" s="16" t="inlineStr"/>
      <c r="J11" s="13" t="inlineStr">
        <is>
          <t>system</t>
        </is>
      </c>
      <c r="K11" s="13" t="inlineStr">
        <is>
          <t>{"type": "odd_lot_remainder", "csv_line": 40, "date": "2026-06-24", "symbol": "600519", "quantity": 30, "remaining": 70}</t>
        </is>
      </c>
    </row>
    <row r="12">
      <c r="A12" s="13" t="inlineStr">
        <is>
          <t>A20260627011</t>
        </is>
      </c>
      <c r="B12" s="16" t="inlineStr">
        <is>
          <t>2026-06-27</t>
        </is>
      </c>
      <c r="C12" s="13" t="inlineStr">
        <is>
          <t>invalid_sell_lot</t>
        </is>
      </c>
      <c r="D12" s="13" t="inlineStr">
        <is>
          <t>300750 卖出 30 股非整手且未清仓</t>
        </is>
      </c>
      <c r="E12" s="13" t="inlineStr">
        <is>
          <t>T20260624-300750</t>
        </is>
      </c>
      <c r="F12" s="16" t="inlineStr">
        <is>
          <t>2026-06-24</t>
        </is>
      </c>
      <c r="G12" s="13" t="inlineStr">
        <is>
          <t>OPEN</t>
        </is>
      </c>
      <c r="H12" s="13" t="inlineStr">
        <is>
          <t>后续执行不得制造零股；不足一手时仅允许清仓或继续持有。</t>
        </is>
      </c>
      <c r="I12" s="16" t="inlineStr"/>
      <c r="J12" s="13" t="inlineStr">
        <is>
          <t>system</t>
        </is>
      </c>
      <c r="K12" s="13" t="inlineStr">
        <is>
          <t>{"type": "invalid_sell_lot", "csv_line": 38, "date": "2026-06-24", "symbol": "300750", "quantity": 30, "remaining": 70}</t>
        </is>
      </c>
    </row>
    <row r="13">
      <c r="A13" s="13" t="inlineStr">
        <is>
          <t>A20260627012</t>
        </is>
      </c>
      <c r="B13" s="16" t="inlineStr">
        <is>
          <t>2026-06-27</t>
        </is>
      </c>
      <c r="C13" s="13" t="inlineStr">
        <is>
          <t>odd_lot_remainder</t>
        </is>
      </c>
      <c r="D13" s="13" t="inlineStr">
        <is>
          <t>300750 卖出后剩余 70 股零股</t>
        </is>
      </c>
      <c r="E13" s="13" t="inlineStr">
        <is>
          <t>T20260624-300750</t>
        </is>
      </c>
      <c r="F13" s="16" t="inlineStr">
        <is>
          <t>2026-06-24</t>
        </is>
      </c>
      <c r="G13" s="13" t="inlineStr">
        <is>
          <t>OPEN</t>
        </is>
      </c>
      <c r="H13" s="13" t="inlineStr">
        <is>
          <t>后续执行不得制造零股；不足一手时仅允许清仓或继续持有。</t>
        </is>
      </c>
      <c r="I13" s="16" t="inlineStr"/>
      <c r="J13" s="13" t="inlineStr">
        <is>
          <t>system</t>
        </is>
      </c>
      <c r="K13" s="13" t="inlineStr">
        <is>
          <t>{"type": "odd_lot_remainder", "csv_line": 38, "date": "2026-06-24", "symbol": "300750", "quantity": 30, "remaining": 70}</t>
        </is>
      </c>
    </row>
    <row r="14">
      <c r="A14" s="13" t="inlineStr">
        <is>
          <t>A20260629013</t>
        </is>
      </c>
      <c r="B14" s="16" t="inlineStr">
        <is>
          <t>2026-06-29</t>
        </is>
      </c>
      <c r="C14" s="13" t="inlineStr">
        <is>
          <t>invalid_sell_lot</t>
        </is>
      </c>
      <c r="D14" s="13" t="inlineStr">
        <is>
          <t>600519 卖出 30 股非整手且未清仓</t>
        </is>
      </c>
      <c r="E14" s="13" t="inlineStr">
        <is>
          <t>T20260624-600519</t>
        </is>
      </c>
      <c r="F14" s="16" t="inlineStr">
        <is>
          <t>2026-06-24</t>
        </is>
      </c>
      <c r="G14" s="13" t="inlineStr">
        <is>
          <t>OPEN</t>
        </is>
      </c>
      <c r="H14" s="13" t="inlineStr">
        <is>
          <t>后续执行不得制造零股；不足一手时仅允许清仓或继续持有。</t>
        </is>
      </c>
      <c r="I14" s="16" t="inlineStr"/>
      <c r="J14" s="13" t="inlineStr">
        <is>
          <t>system</t>
        </is>
      </c>
      <c r="K14" s="13" t="inlineStr">
        <is>
          <t>{"type": "invalid_sell_lot", "csv_line": 40, "date": "2026-06-24", "symbol": "600519", "quantity": 30, "remaining": 70}</t>
        </is>
      </c>
    </row>
    <row r="15">
      <c r="A15" s="13" t="inlineStr">
        <is>
          <t>A20260629014</t>
        </is>
      </c>
      <c r="B15" s="16" t="inlineStr">
        <is>
          <t>2026-06-29</t>
        </is>
      </c>
      <c r="C15" s="13" t="inlineStr">
        <is>
          <t>odd_lot_remainder</t>
        </is>
      </c>
      <c r="D15" s="13" t="inlineStr">
        <is>
          <t>600519 卖出后剩余 70 股零股</t>
        </is>
      </c>
      <c r="E15" s="13" t="inlineStr">
        <is>
          <t>T20260624-600519</t>
        </is>
      </c>
      <c r="F15" s="16" t="inlineStr">
        <is>
          <t>2026-06-24</t>
        </is>
      </c>
      <c r="G15" s="13" t="inlineStr">
        <is>
          <t>OPEN</t>
        </is>
      </c>
      <c r="H15" s="13" t="inlineStr">
        <is>
          <t>后续执行不得制造零股；不足一手时仅允许清仓或继续持有。</t>
        </is>
      </c>
      <c r="I15" s="16" t="inlineStr"/>
      <c r="J15" s="13" t="inlineStr">
        <is>
          <t>system</t>
        </is>
      </c>
      <c r="K15" s="13" t="inlineStr">
        <is>
          <t>{"type": "odd_lot_remainder", "csv_line": 40, "date": "2026-06-24", "symbol": "600519", "quantity": 30, "remaining": 70}</t>
        </is>
      </c>
    </row>
    <row r="16">
      <c r="A16" s="13" t="inlineStr">
        <is>
          <t>A20260629015</t>
        </is>
      </c>
      <c r="B16" s="16" t="inlineStr">
        <is>
          <t>2026-06-29</t>
        </is>
      </c>
      <c r="C16" s="13" t="inlineStr">
        <is>
          <t>invalid_sell_lot</t>
        </is>
      </c>
      <c r="D16" s="13" t="inlineStr">
        <is>
          <t>300750 卖出 30 股非整手且未清仓</t>
        </is>
      </c>
      <c r="E16" s="13" t="inlineStr">
        <is>
          <t>T20260624-300750</t>
        </is>
      </c>
      <c r="F16" s="16" t="inlineStr">
        <is>
          <t>2026-06-24</t>
        </is>
      </c>
      <c r="G16" s="13" t="inlineStr">
        <is>
          <t>OPEN</t>
        </is>
      </c>
      <c r="H16" s="13" t="inlineStr">
        <is>
          <t>后续执行不得制造零股；不足一手时仅允许清仓或继续持有。</t>
        </is>
      </c>
      <c r="I16" s="16" t="inlineStr"/>
      <c r="J16" s="13" t="inlineStr">
        <is>
          <t>system</t>
        </is>
      </c>
      <c r="K16" s="13" t="inlineStr">
        <is>
          <t>{"type": "invalid_sell_lot", "csv_line": 38, "date": "2026-06-24", "symbol": "300750", "quantity": 30, "remaining": 70}</t>
        </is>
      </c>
    </row>
    <row r="17">
      <c r="A17" s="13" t="inlineStr">
        <is>
          <t>A20260629016</t>
        </is>
      </c>
      <c r="B17" s="16" t="inlineStr">
        <is>
          <t>2026-06-29</t>
        </is>
      </c>
      <c r="C17" s="13" t="inlineStr">
        <is>
          <t>odd_lot_remainder</t>
        </is>
      </c>
      <c r="D17" s="13" t="inlineStr">
        <is>
          <t>300750 卖出后剩余 70 股零股</t>
        </is>
      </c>
      <c r="E17" s="13" t="inlineStr">
        <is>
          <t>T20260624-300750</t>
        </is>
      </c>
      <c r="F17" s="16" t="inlineStr">
        <is>
          <t>2026-06-24</t>
        </is>
      </c>
      <c r="G17" s="13" t="inlineStr">
        <is>
          <t>OPEN</t>
        </is>
      </c>
      <c r="H17" s="13" t="inlineStr">
        <is>
          <t>后续执行不得制造零股；不足一手时仅允许清仓或继续持有。</t>
        </is>
      </c>
      <c r="I17" s="16" t="inlineStr"/>
      <c r="J17" s="13" t="inlineStr">
        <is>
          <t>system</t>
        </is>
      </c>
      <c r="K17" s="13" t="inlineStr">
        <is>
          <t>{"type": "odd_lot_remainder", "csv_line": 38, "date": "2026-06-24", "symbol": "300750", "quantity": 30, "remaining": 70}</t>
        </is>
      </c>
    </row>
    <row r="18">
      <c r="A18" s="13" t="inlineStr">
        <is>
          <t>A20260630017</t>
        </is>
      </c>
      <c r="B18" s="16" t="inlineStr">
        <is>
          <t>2026-06-30</t>
        </is>
      </c>
      <c r="C18" s="13" t="inlineStr">
        <is>
          <t>invalid_sell_lot</t>
        </is>
      </c>
      <c r="D18" s="13" t="inlineStr">
        <is>
          <t>600519 卖出 30 股非整手且未清仓</t>
        </is>
      </c>
      <c r="E18" s="13" t="inlineStr">
        <is>
          <t>T20260624-600519</t>
        </is>
      </c>
      <c r="F18" s="16" t="inlineStr">
        <is>
          <t>2026-06-24</t>
        </is>
      </c>
      <c r="G18" s="13" t="inlineStr">
        <is>
          <t>OPEN</t>
        </is>
      </c>
      <c r="H18" s="13" t="inlineStr">
        <is>
          <t>后续执行不得制造零股；不足一手时仅允许清仓或继续持有。</t>
        </is>
      </c>
      <c r="I18" s="16" t="inlineStr"/>
      <c r="J18" s="13" t="inlineStr">
        <is>
          <t>system</t>
        </is>
      </c>
      <c r="K18" s="13" t="inlineStr">
        <is>
          <t>{"type": "invalid_sell_lot", "csv_line": 40, "date": "2026-06-24", "symbol": "600519", "quantity": 30, "remaining": 70}</t>
        </is>
      </c>
    </row>
    <row r="19">
      <c r="A19" s="13" t="inlineStr">
        <is>
          <t>A20260630018</t>
        </is>
      </c>
      <c r="B19" s="16" t="inlineStr">
        <is>
          <t>2026-06-30</t>
        </is>
      </c>
      <c r="C19" s="13" t="inlineStr">
        <is>
          <t>odd_lot_remainder</t>
        </is>
      </c>
      <c r="D19" s="13" t="inlineStr">
        <is>
          <t>600519 卖出后剩余 70 股零股</t>
        </is>
      </c>
      <c r="E19" s="13" t="inlineStr">
        <is>
          <t>T20260624-600519</t>
        </is>
      </c>
      <c r="F19" s="16" t="inlineStr">
        <is>
          <t>2026-06-24</t>
        </is>
      </c>
      <c r="G19" s="13" t="inlineStr">
        <is>
          <t>OPEN</t>
        </is>
      </c>
      <c r="H19" s="13" t="inlineStr">
        <is>
          <t>后续执行不得制造零股；不足一手时仅允许清仓或继续持有。</t>
        </is>
      </c>
      <c r="I19" s="16" t="inlineStr"/>
      <c r="J19" s="13" t="inlineStr">
        <is>
          <t>system</t>
        </is>
      </c>
      <c r="K19" s="13" t="inlineStr">
        <is>
          <t>{"type": "odd_lot_remainder", "csv_line": 40, "date": "2026-06-24", "symbol": "600519", "quantity": 30, "remaining": 70}</t>
        </is>
      </c>
    </row>
    <row r="20">
      <c r="A20" s="13" t="inlineStr">
        <is>
          <t>A20260630019</t>
        </is>
      </c>
      <c r="B20" s="16" t="inlineStr">
        <is>
          <t>2026-06-30</t>
        </is>
      </c>
      <c r="C20" s="13" t="inlineStr">
        <is>
          <t>invalid_sell_lot</t>
        </is>
      </c>
      <c r="D20" s="13" t="inlineStr">
        <is>
          <t>300750 卖出 30 股非整手且未清仓</t>
        </is>
      </c>
      <c r="E20" s="13" t="inlineStr">
        <is>
          <t>T20260624-300750</t>
        </is>
      </c>
      <c r="F20" s="16" t="inlineStr">
        <is>
          <t>2026-06-24</t>
        </is>
      </c>
      <c r="G20" s="13" t="inlineStr">
        <is>
          <t>OPEN</t>
        </is>
      </c>
      <c r="H20" s="13" t="inlineStr">
        <is>
          <t>后续执行不得制造零股；不足一手时仅允许清仓或继续持有。</t>
        </is>
      </c>
      <c r="I20" s="16" t="inlineStr"/>
      <c r="J20" s="13" t="inlineStr">
        <is>
          <t>system</t>
        </is>
      </c>
      <c r="K20" s="13" t="inlineStr">
        <is>
          <t>{"type": "invalid_sell_lot", "csv_line": 38, "date": "2026-06-24", "symbol": "300750", "quantity": 30, "remaining": 70}</t>
        </is>
      </c>
    </row>
    <row r="21">
      <c r="A21" s="13" t="inlineStr">
        <is>
          <t>A20260630020</t>
        </is>
      </c>
      <c r="B21" s="16" t="inlineStr">
        <is>
          <t>2026-06-30</t>
        </is>
      </c>
      <c r="C21" s="13" t="inlineStr">
        <is>
          <t>odd_lot_remainder</t>
        </is>
      </c>
      <c r="D21" s="13" t="inlineStr">
        <is>
          <t>300750 卖出后剩余 70 股零股</t>
        </is>
      </c>
      <c r="E21" s="13" t="inlineStr">
        <is>
          <t>T20260624-300750</t>
        </is>
      </c>
      <c r="F21" s="16" t="inlineStr">
        <is>
          <t>2026-06-24</t>
        </is>
      </c>
      <c r="G21" s="13" t="inlineStr">
        <is>
          <t>OPEN</t>
        </is>
      </c>
      <c r="H21" s="13" t="inlineStr">
        <is>
          <t>后续执行不得制造零股；不足一手时仅允许清仓或继续持有。</t>
        </is>
      </c>
      <c r="I21" s="16" t="inlineStr"/>
      <c r="J21" s="13" t="inlineStr">
        <is>
          <t>system</t>
        </is>
      </c>
      <c r="K21" s="13" t="inlineStr">
        <is>
          <t>{"type": "odd_lot_remainder", "csv_line": 38, "date": "2026-06-24", "symbol": "300750", "quantity": 30, "remaining": 70}</t>
        </is>
      </c>
    </row>
  </sheetData>
  <autoFilter ref="A1:K21"/>
  <conditionalFormatting sqref="G2:G21">
    <cfRule type="expression" priority="1" dxfId="0">
      <formula>OR($G2="FILLED",$G2="OK",$G2="CLOSED")</formula>
    </cfRule>
    <cfRule type="expression" priority="2" dxfId="1">
      <formula>OR($G2="WARNING",$G2="PENDING",$G2="IN_PROGRESS")</formula>
    </cfRule>
    <cfRule type="expression" priority="3" dxfId="2">
      <formula>OR($G2="STOP",$G2="BLOCKED",$G2="OPEN",$G2="FAILED")</formula>
    </cfRule>
  </conditionalFormatting>
  <dataValidations count="1">
    <dataValidation sqref="G2:G1048576" showDropDown="0" showInputMessage="0" showErrorMessage="0" allowBlank="1" type="list">
      <formula1>"OPEN,IN_PROGRESS,FIXED,IGNORED,CLOSED"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21" customWidth="1" min="5" max="5"/>
    <col width="48" customWidth="1" min="6" max="6"/>
    <col width="30" customWidth="1" min="7" max="7"/>
  </cols>
  <sheetData>
    <row r="1">
      <c r="A1" s="1" t="inlineStr">
        <is>
          <t>日期</t>
        </is>
      </c>
      <c r="B1" s="1" t="inlineStr">
        <is>
          <t>检查点</t>
        </is>
      </c>
      <c r="C1" s="1" t="inlineStr">
        <is>
          <t>截止时间</t>
        </is>
      </c>
      <c r="D1" s="1" t="inlineStr">
        <is>
          <t>状态</t>
        </is>
      </c>
      <c r="E1" s="1" t="inlineStr">
        <is>
          <t>完成/补登记时间</t>
        </is>
      </c>
      <c r="F1" s="1" t="inlineStr">
        <is>
          <t>证据</t>
        </is>
      </c>
      <c r="G1" s="1" t="inlineStr">
        <is>
          <t>说明</t>
        </is>
      </c>
    </row>
    <row r="2">
      <c r="A2" s="5" t="inlineStr">
        <is>
          <t>2026-06-24</t>
        </is>
      </c>
      <c r="B2" s="5" t="inlineStr">
        <is>
          <t>preopen_plan</t>
        </is>
      </c>
      <c r="C2" s="5" t="inlineStr">
        <is>
          <t>08:50</t>
        </is>
      </c>
      <c r="D2" s="5" t="inlineStr">
        <is>
          <t>overdue</t>
        </is>
      </c>
      <c r="E2" s="5" t="inlineStr"/>
      <c r="F2" s="5" t="inlineStr">
        <is>
          <t>daily log / preopen pipeline record</t>
        </is>
      </c>
      <c r="G2" s="5" t="inlineStr">
        <is>
          <t>盘前计划、观察池、无效条件。</t>
        </is>
      </c>
    </row>
    <row r="3">
      <c r="A3" s="7" t="inlineStr">
        <is>
          <t>2026-06-24</t>
        </is>
      </c>
      <c r="B3" s="7" t="inlineStr">
        <is>
          <t>open_snapshot</t>
        </is>
      </c>
      <c r="C3" s="7" t="inlineStr">
        <is>
          <t>09:40</t>
        </is>
      </c>
      <c r="D3" s="7" t="inlineStr">
        <is>
          <t>done</t>
        </is>
      </c>
      <c r="E3" s="7" t="inlineStr">
        <is>
          <t>2026-06-24T13:28:09</t>
        </is>
      </c>
      <c r="F3" s="7" t="inlineStr">
        <is>
          <t>data-check outputs: 600519/300750/002230/600036/600941/688981 realtime fallback</t>
        </is>
      </c>
      <c r="G3" s="7" t="inlineStr">
        <is>
          <t>补登记：09:31-10:05 已顺序取数并记录行情链路</t>
        </is>
      </c>
    </row>
    <row r="4">
      <c r="A4" s="7" t="inlineStr">
        <is>
          <t>2026-06-24</t>
        </is>
      </c>
      <c r="B4" s="7" t="inlineStr">
        <is>
          <t>morning_review</t>
        </is>
      </c>
      <c r="C4" s="7" t="inlineStr">
        <is>
          <t>10:30</t>
        </is>
      </c>
      <c r="D4" s="7" t="inlineStr">
        <is>
          <t>done</t>
        </is>
      </c>
      <c r="E4" s="7" t="inlineStr">
        <is>
          <t>2026-06-24T13:28:09</t>
        </is>
      </c>
      <c r="F4" s="7" t="inlineStr">
        <is>
          <t>交易总表 2026-06-24 TRADE rows 10:06-10:10; automation memory a lines 11-16</t>
        </is>
      </c>
      <c r="G4" s="7" t="inlineStr">
        <is>
          <t>补登记：按昨日频次完成5笔纸面训练交易并复核弱强</t>
        </is>
      </c>
    </row>
    <row r="5">
      <c r="A5" s="5" t="inlineStr">
        <is>
          <t>2026-06-24</t>
        </is>
      </c>
      <c r="B5" s="5" t="inlineStr">
        <is>
          <t>midday_plan</t>
        </is>
      </c>
      <c r="C5" s="5" t="inlineStr">
        <is>
          <t>12:10</t>
        </is>
      </c>
      <c r="D5" s="5" t="inlineStr">
        <is>
          <t>overdue</t>
        </is>
      </c>
      <c r="E5" s="5" t="inlineStr"/>
      <c r="F5" s="5" t="inlineStr">
        <is>
          <t>midday pipeline record / daily log</t>
        </is>
      </c>
      <c r="G5" s="5" t="inlineStr">
        <is>
          <t>上午结果和下午执行计划。</t>
        </is>
      </c>
    </row>
    <row r="6">
      <c r="A6" s="3" t="inlineStr">
        <is>
          <t>2026-06-24</t>
        </is>
      </c>
      <c r="B6" s="3" t="inlineStr">
        <is>
          <t>afternoon_review</t>
        </is>
      </c>
      <c r="C6" s="3" t="inlineStr">
        <is>
          <t>14:00</t>
        </is>
      </c>
      <c r="D6" s="3" t="inlineStr">
        <is>
          <t>pending</t>
        </is>
      </c>
      <c r="E6" s="3" t="inlineStr"/>
      <c r="F6" s="3" t="inlineStr">
        <is>
          <t>afternoon pipeline record / intraday check row</t>
        </is>
      </c>
      <c r="G6" s="3" t="inlineStr">
        <is>
          <t>午后加减仓或继续观察复核。</t>
        </is>
      </c>
    </row>
    <row r="7">
      <c r="A7" s="7" t="inlineStr">
        <is>
          <t>2026-06-24</t>
        </is>
      </c>
      <c r="B7" s="7" t="inlineStr">
        <is>
          <t>close_settlement</t>
        </is>
      </c>
      <c r="C7" s="7" t="inlineStr">
        <is>
          <t>15:20</t>
        </is>
      </c>
      <c r="D7" s="7" t="inlineStr">
        <is>
          <t>done</t>
        </is>
      </c>
      <c r="E7" s="7" t="inlineStr">
        <is>
          <t>2026-06-24T13:28:09</t>
        </is>
      </c>
      <c r="F7" s="7" t="inlineStr">
        <is>
          <t>交易总表 2026-06-24 DAY_SUMMARY; equity=969598.01</t>
        </is>
      </c>
      <c r="G7" s="7" t="inlineStr">
        <is>
          <t>盘中结算已完成；若收盘后需再按收盘价重结算</t>
        </is>
      </c>
    </row>
    <row r="8">
      <c r="A8" s="3" t="inlineStr">
        <is>
          <t>2026-06-24</t>
        </is>
      </c>
      <c r="B8" s="3" t="inlineStr">
        <is>
          <t>post_close_audit</t>
        </is>
      </c>
      <c r="C8" s="3" t="inlineStr">
        <is>
          <t>16:30</t>
        </is>
      </c>
      <c r="D8" s="3" t="inlineStr">
        <is>
          <t>pending</t>
        </is>
      </c>
      <c r="E8" s="3" t="inlineStr"/>
      <c r="F8" s="3" t="inlineStr">
        <is>
          <t>pipeline_review / ops report</t>
        </is>
      </c>
      <c r="G8" s="3" t="inlineStr">
        <is>
          <t>审计缺失阶段、失败链路和次日动作。</t>
        </is>
      </c>
    </row>
    <row r="9">
      <c r="A9" s="5" t="inlineStr">
        <is>
          <t>2026-06-26</t>
        </is>
      </c>
      <c r="B9" s="5" t="inlineStr">
        <is>
          <t>preopen_plan</t>
        </is>
      </c>
      <c r="C9" s="5" t="inlineStr">
        <is>
          <t>08:50</t>
        </is>
      </c>
      <c r="D9" s="5" t="inlineStr">
        <is>
          <t>overdue</t>
        </is>
      </c>
      <c r="E9" s="5" t="inlineStr"/>
      <c r="F9" s="5" t="inlineStr">
        <is>
          <t>daily log / preopen pipeline record</t>
        </is>
      </c>
      <c r="G9" s="5" t="inlineStr">
        <is>
          <t>盘前计划、观察池、无效条件。</t>
        </is>
      </c>
    </row>
    <row r="10">
      <c r="A10" s="7" t="inlineStr">
        <is>
          <t>2026-06-26</t>
        </is>
      </c>
      <c r="B10" s="7" t="inlineStr">
        <is>
          <t>open_snapshot</t>
        </is>
      </c>
      <c r="C10" s="7" t="inlineStr">
        <is>
          <t>09:40</t>
        </is>
      </c>
      <c r="D10" s="7" t="inlineStr">
        <is>
          <t>done</t>
        </is>
      </c>
      <c r="E10" s="7" t="inlineStr">
        <is>
          <t>2026-06-26T09:42:49</t>
        </is>
      </c>
      <c r="F10" s="7" t="inlineStr">
        <is>
          <t>/Users/hanlinye/Desktop/vibe 作品集/股票量化交易系统/trading-journal/pipeline-runs/2026-06-26/open.json</t>
        </is>
      </c>
      <c r="G10" s="7" t="inlineStr">
        <is>
          <t>pipeline open ok</t>
        </is>
      </c>
    </row>
    <row r="11">
      <c r="A11" s="3" t="inlineStr">
        <is>
          <t>2026-06-26</t>
        </is>
      </c>
      <c r="B11" s="3" t="inlineStr">
        <is>
          <t>morning_review</t>
        </is>
      </c>
      <c r="C11" s="3" t="inlineStr">
        <is>
          <t>10:30</t>
        </is>
      </c>
      <c r="D11" s="3" t="inlineStr">
        <is>
          <t>pending</t>
        </is>
      </c>
      <c r="E11" s="3" t="inlineStr"/>
      <c r="F11" s="3" t="inlineStr">
        <is>
          <t>manual review / intraday check row</t>
        </is>
      </c>
      <c r="G11" s="3" t="inlineStr">
        <is>
          <t>复核早盘触发、无效、止损纪律。</t>
        </is>
      </c>
    </row>
    <row r="12">
      <c r="A12" s="3" t="inlineStr">
        <is>
          <t>2026-06-26</t>
        </is>
      </c>
      <c r="B12" s="3" t="inlineStr">
        <is>
          <t>midday_plan</t>
        </is>
      </c>
      <c r="C12" s="3" t="inlineStr">
        <is>
          <t>12:10</t>
        </is>
      </c>
      <c r="D12" s="3" t="inlineStr">
        <is>
          <t>pending</t>
        </is>
      </c>
      <c r="E12" s="3" t="inlineStr"/>
      <c r="F12" s="3" t="inlineStr">
        <is>
          <t>midday pipeline record / daily log</t>
        </is>
      </c>
      <c r="G12" s="3" t="inlineStr">
        <is>
          <t>上午结果和下午执行计划。</t>
        </is>
      </c>
    </row>
    <row r="13">
      <c r="A13" s="3" t="inlineStr">
        <is>
          <t>2026-06-26</t>
        </is>
      </c>
      <c r="B13" s="3" t="inlineStr">
        <is>
          <t>afternoon_review</t>
        </is>
      </c>
      <c r="C13" s="3" t="inlineStr">
        <is>
          <t>14:00</t>
        </is>
      </c>
      <c r="D13" s="3" t="inlineStr">
        <is>
          <t>pending</t>
        </is>
      </c>
      <c r="E13" s="3" t="inlineStr"/>
      <c r="F13" s="3" t="inlineStr">
        <is>
          <t>afternoon pipeline record / intraday check row</t>
        </is>
      </c>
      <c r="G13" s="3" t="inlineStr">
        <is>
          <t>午后加减仓或继续观察复核。</t>
        </is>
      </c>
    </row>
    <row r="14">
      <c r="A14" s="3" t="inlineStr">
        <is>
          <t>2026-06-26</t>
        </is>
      </c>
      <c r="B14" s="3" t="inlineStr">
        <is>
          <t>close_settlement</t>
        </is>
      </c>
      <c r="C14" s="3" t="inlineStr">
        <is>
          <t>15:20</t>
        </is>
      </c>
      <c r="D14" s="3" t="inlineStr">
        <is>
          <t>pending</t>
        </is>
      </c>
      <c r="E14" s="3" t="inlineStr"/>
      <c r="F14" s="3" t="inlineStr">
        <is>
          <t>DAY_SUMMARY / close pipeline record</t>
        </is>
      </c>
      <c r="G14" s="3" t="inlineStr">
        <is>
          <t>结算权益、现金、持仓、盈亏和风险状态。</t>
        </is>
      </c>
    </row>
    <row r="15">
      <c r="A15" s="3" t="inlineStr">
        <is>
          <t>2026-06-26</t>
        </is>
      </c>
      <c r="B15" s="3" t="inlineStr">
        <is>
          <t>post_close_audit</t>
        </is>
      </c>
      <c r="C15" s="3" t="inlineStr">
        <is>
          <t>16:30</t>
        </is>
      </c>
      <c r="D15" s="3" t="inlineStr">
        <is>
          <t>pending</t>
        </is>
      </c>
      <c r="E15" s="3" t="inlineStr"/>
      <c r="F15" s="3" t="inlineStr">
        <is>
          <t>pipeline_review / ops report</t>
        </is>
      </c>
      <c r="G15" s="3" t="inlineStr">
        <is>
          <t>审计缺失阶段、失败链路和次日动作。</t>
        </is>
      </c>
    </row>
    <row r="16">
      <c r="A16" s="5" t="inlineStr">
        <is>
          <t>2026-06-27</t>
        </is>
      </c>
      <c r="B16" s="5" t="inlineStr">
        <is>
          <t>preopen_plan</t>
        </is>
      </c>
      <c r="C16" s="5" t="inlineStr">
        <is>
          <t>08:50</t>
        </is>
      </c>
      <c r="D16" s="5" t="inlineStr">
        <is>
          <t>overdue</t>
        </is>
      </c>
      <c r="E16" s="5" t="inlineStr"/>
      <c r="F16" s="5" t="inlineStr">
        <is>
          <t>daily log / preopen pipeline record</t>
        </is>
      </c>
      <c r="G16" s="5" t="inlineStr">
        <is>
          <t>盘前计划、观察池、无效条件。</t>
        </is>
      </c>
    </row>
    <row r="17">
      <c r="A17" s="5" t="inlineStr">
        <is>
          <t>2026-06-27</t>
        </is>
      </c>
      <c r="B17" s="5" t="inlineStr">
        <is>
          <t>open_snapshot</t>
        </is>
      </c>
      <c r="C17" s="5" t="inlineStr">
        <is>
          <t>09:40</t>
        </is>
      </c>
      <c r="D17" s="5" t="inlineStr">
        <is>
          <t>overdue</t>
        </is>
      </c>
      <c r="E17" s="5" t="inlineStr"/>
      <c r="F17" s="5" t="inlineStr">
        <is>
          <t>open pipeline record / data-check output</t>
        </is>
      </c>
      <c r="G17" s="5" t="inlineStr">
        <is>
          <t>开盘行情和数据链路检查。</t>
        </is>
      </c>
    </row>
    <row r="18">
      <c r="A18" s="5" t="inlineStr">
        <is>
          <t>2026-06-27</t>
        </is>
      </c>
      <c r="B18" s="5" t="inlineStr">
        <is>
          <t>morning_review</t>
        </is>
      </c>
      <c r="C18" s="5" t="inlineStr">
        <is>
          <t>10:30</t>
        </is>
      </c>
      <c r="D18" s="5" t="inlineStr">
        <is>
          <t>overdue</t>
        </is>
      </c>
      <c r="E18" s="5" t="inlineStr"/>
      <c r="F18" s="5" t="inlineStr">
        <is>
          <t>manual review / intraday check row</t>
        </is>
      </c>
      <c r="G18" s="5" t="inlineStr">
        <is>
          <t>复核早盘触发、无效、止损纪律。</t>
        </is>
      </c>
    </row>
    <row r="19">
      <c r="A19" s="3" t="inlineStr">
        <is>
          <t>2026-06-27</t>
        </is>
      </c>
      <c r="B19" s="3" t="inlineStr">
        <is>
          <t>midday_plan</t>
        </is>
      </c>
      <c r="C19" s="3" t="inlineStr">
        <is>
          <t>12:10</t>
        </is>
      </c>
      <c r="D19" s="3" t="inlineStr">
        <is>
          <t>pending</t>
        </is>
      </c>
      <c r="E19" s="3" t="inlineStr"/>
      <c r="F19" s="3" t="inlineStr">
        <is>
          <t>midday pipeline record / daily log</t>
        </is>
      </c>
      <c r="G19" s="3" t="inlineStr">
        <is>
          <t>上午结果和下午执行计划。</t>
        </is>
      </c>
    </row>
    <row r="20">
      <c r="A20" s="3" t="inlineStr">
        <is>
          <t>2026-06-27</t>
        </is>
      </c>
      <c r="B20" s="3" t="inlineStr">
        <is>
          <t>afternoon_review</t>
        </is>
      </c>
      <c r="C20" s="3" t="inlineStr">
        <is>
          <t>14:00</t>
        </is>
      </c>
      <c r="D20" s="3" t="inlineStr">
        <is>
          <t>pending</t>
        </is>
      </c>
      <c r="E20" s="3" t="inlineStr"/>
      <c r="F20" s="3" t="inlineStr">
        <is>
          <t>afternoon pipeline record / intraday check row</t>
        </is>
      </c>
      <c r="G20" s="3" t="inlineStr">
        <is>
          <t>午后加减仓或继续观察复核。</t>
        </is>
      </c>
    </row>
    <row r="21">
      <c r="A21" s="7" t="inlineStr">
        <is>
          <t>2026-06-27</t>
        </is>
      </c>
      <c r="B21" s="7" t="inlineStr">
        <is>
          <t>close_settlement</t>
        </is>
      </c>
      <c r="C21" s="7" t="inlineStr">
        <is>
          <t>15:20</t>
        </is>
      </c>
      <c r="D21" s="7" t="inlineStr">
        <is>
          <t>done</t>
        </is>
      </c>
      <c r="E21" s="7" t="inlineStr">
        <is>
          <t>2026-06-27T10:50:29</t>
        </is>
      </c>
      <c r="F21" s="7" t="inlineStr">
        <is>
          <t>/Users/hanlinye/Desktop/vibe 作品集/股票量化交易系统/trading-journal/pipeline-runs/2026-06-27/close.json</t>
        </is>
      </c>
      <c r="G21" s="7" t="inlineStr">
        <is>
          <t>pipeline close ok</t>
        </is>
      </c>
    </row>
    <row r="22">
      <c r="A22" s="3" t="inlineStr">
        <is>
          <t>2026-06-27</t>
        </is>
      </c>
      <c r="B22" s="3" t="inlineStr">
        <is>
          <t>post_close_audit</t>
        </is>
      </c>
      <c r="C22" s="3" t="inlineStr">
        <is>
          <t>16:30</t>
        </is>
      </c>
      <c r="D22" s="3" t="inlineStr">
        <is>
          <t>pending</t>
        </is>
      </c>
      <c r="E22" s="3" t="inlineStr"/>
      <c r="F22" s="3" t="inlineStr">
        <is>
          <t>pipeline_review / ops report</t>
        </is>
      </c>
      <c r="G22" s="3" t="inlineStr">
        <is>
          <t>审计缺失阶段、失败链路和次日动作。</t>
        </is>
      </c>
    </row>
    <row r="23">
      <c r="A23" s="5" t="inlineStr">
        <is>
          <t>2026-06-29</t>
        </is>
      </c>
      <c r="B23" s="5" t="inlineStr">
        <is>
          <t>preopen_plan</t>
        </is>
      </c>
      <c r="C23" s="5" t="inlineStr">
        <is>
          <t>08:50</t>
        </is>
      </c>
      <c r="D23" s="5" t="inlineStr">
        <is>
          <t>overdue</t>
        </is>
      </c>
      <c r="E23" s="5" t="inlineStr"/>
      <c r="F23" s="5" t="inlineStr">
        <is>
          <t>daily log / preopen pipeline record</t>
        </is>
      </c>
      <c r="G23" s="5" t="inlineStr">
        <is>
          <t>盘前计划、观察池、无效条件。</t>
        </is>
      </c>
    </row>
    <row r="24">
      <c r="A24" s="10" t="inlineStr">
        <is>
          <t>2026-06-29</t>
        </is>
      </c>
      <c r="B24" s="10" t="inlineStr">
        <is>
          <t>open_snapshot</t>
        </is>
      </c>
      <c r="C24" s="10" t="inlineStr">
        <is>
          <t>09:40</t>
        </is>
      </c>
      <c r="D24" s="10" t="inlineStr">
        <is>
          <t>failed</t>
        </is>
      </c>
      <c r="E24" s="10" t="inlineStr">
        <is>
          <t>2026-06-29T10:32:52</t>
        </is>
      </c>
      <c r="F24" s="10" t="inlineStr">
        <is>
          <t>/Users/hanlinye/Desktop/vibe 作品集/股票量化交易系统/trading-journal/pipeline-runs/2026-06-29/open.json</t>
        </is>
      </c>
      <c r="G24" s="10" t="inlineStr">
        <is>
          <t>pipeline open failed</t>
        </is>
      </c>
    </row>
    <row r="25">
      <c r="A25" s="5" t="inlineStr">
        <is>
          <t>2026-06-29</t>
        </is>
      </c>
      <c r="B25" s="5" t="inlineStr">
        <is>
          <t>morning_review</t>
        </is>
      </c>
      <c r="C25" s="5" t="inlineStr">
        <is>
          <t>10:30</t>
        </is>
      </c>
      <c r="D25" s="5" t="inlineStr">
        <is>
          <t>overdue</t>
        </is>
      </c>
      <c r="E25" s="5" t="inlineStr"/>
      <c r="F25" s="5" t="inlineStr">
        <is>
          <t>manual review / intraday check row</t>
        </is>
      </c>
      <c r="G25" s="5" t="inlineStr">
        <is>
          <t>复核早盘触发、无效、止损纪律。</t>
        </is>
      </c>
    </row>
    <row r="26">
      <c r="A26" s="3" t="inlineStr">
        <is>
          <t>2026-06-29</t>
        </is>
      </c>
      <c r="B26" s="3" t="inlineStr">
        <is>
          <t>midday_plan</t>
        </is>
      </c>
      <c r="C26" s="3" t="inlineStr">
        <is>
          <t>12:10</t>
        </is>
      </c>
      <c r="D26" s="3" t="inlineStr">
        <is>
          <t>pending</t>
        </is>
      </c>
      <c r="E26" s="3" t="inlineStr"/>
      <c r="F26" s="3" t="inlineStr">
        <is>
          <t>midday pipeline record / daily log</t>
        </is>
      </c>
      <c r="G26" s="3" t="inlineStr">
        <is>
          <t>上午结果和下午执行计划。</t>
        </is>
      </c>
    </row>
    <row r="27">
      <c r="A27" s="3" t="inlineStr">
        <is>
          <t>2026-06-29</t>
        </is>
      </c>
      <c r="B27" s="3" t="inlineStr">
        <is>
          <t>afternoon_review</t>
        </is>
      </c>
      <c r="C27" s="3" t="inlineStr">
        <is>
          <t>14:00</t>
        </is>
      </c>
      <c r="D27" s="3" t="inlineStr">
        <is>
          <t>pending</t>
        </is>
      </c>
      <c r="E27" s="3" t="inlineStr"/>
      <c r="F27" s="3" t="inlineStr">
        <is>
          <t>afternoon pipeline record / intraday check row</t>
        </is>
      </c>
      <c r="G27" s="3" t="inlineStr">
        <is>
          <t>午后加减仓或继续观察复核。</t>
        </is>
      </c>
    </row>
    <row r="28">
      <c r="A28" s="3" t="inlineStr">
        <is>
          <t>2026-06-29</t>
        </is>
      </c>
      <c r="B28" s="3" t="inlineStr">
        <is>
          <t>close_settlement</t>
        </is>
      </c>
      <c r="C28" s="3" t="inlineStr">
        <is>
          <t>15:20</t>
        </is>
      </c>
      <c r="D28" s="3" t="inlineStr">
        <is>
          <t>pending</t>
        </is>
      </c>
      <c r="E28" s="3" t="inlineStr"/>
      <c r="F28" s="3" t="inlineStr">
        <is>
          <t>DAY_SUMMARY / close pipeline record</t>
        </is>
      </c>
      <c r="G28" s="3" t="inlineStr">
        <is>
          <t>结算权益、现金、持仓、盈亏和风险状态。</t>
        </is>
      </c>
    </row>
    <row r="29">
      <c r="A29" s="3" t="inlineStr">
        <is>
          <t>2026-06-29</t>
        </is>
      </c>
      <c r="B29" s="3" t="inlineStr">
        <is>
          <t>post_close_audit</t>
        </is>
      </c>
      <c r="C29" s="3" t="inlineStr">
        <is>
          <t>16:30</t>
        </is>
      </c>
      <c r="D29" s="3" t="inlineStr">
        <is>
          <t>pending</t>
        </is>
      </c>
      <c r="E29" s="3" t="inlineStr"/>
      <c r="F29" s="3" t="inlineStr">
        <is>
          <t>pipeline_review / ops report</t>
        </is>
      </c>
      <c r="G29" s="3" t="inlineStr">
        <is>
          <t>审计缺失阶段、失败链路和次日动作。</t>
        </is>
      </c>
    </row>
    <row r="30">
      <c r="A30" s="5" t="inlineStr">
        <is>
          <t>2026-06-30</t>
        </is>
      </c>
      <c r="B30" s="5" t="inlineStr">
        <is>
          <t>preopen_plan</t>
        </is>
      </c>
      <c r="C30" s="5" t="inlineStr">
        <is>
          <t>08:50</t>
        </is>
      </c>
      <c r="D30" s="5" t="inlineStr">
        <is>
          <t>overdue</t>
        </is>
      </c>
      <c r="E30" s="5" t="inlineStr"/>
      <c r="F30" s="5" t="inlineStr">
        <is>
          <t>daily log / preopen pipeline record</t>
        </is>
      </c>
      <c r="G30" s="5" t="inlineStr">
        <is>
          <t>盘前计划、观察池、无效条件。</t>
        </is>
      </c>
    </row>
    <row r="31">
      <c r="A31" s="7" t="inlineStr">
        <is>
          <t>2026-06-30</t>
        </is>
      </c>
      <c r="B31" s="7" t="inlineStr">
        <is>
          <t>open_snapshot</t>
        </is>
      </c>
      <c r="C31" s="7" t="inlineStr">
        <is>
          <t>09:40</t>
        </is>
      </c>
      <c r="D31" s="7" t="inlineStr">
        <is>
          <t>done</t>
        </is>
      </c>
      <c r="E31" s="7" t="inlineStr">
        <is>
          <t>2026-06-30T09:59:39</t>
        </is>
      </c>
      <c r="F31" s="7" t="inlineStr">
        <is>
          <t>/Users/hanlinye/Desktop/vibe 作品集/股票量化交易系统/trading-journal/pipeline-runs/2026-06-30/open.json</t>
        </is>
      </c>
      <c r="G31" s="7" t="inlineStr">
        <is>
          <t>pipeline open ok</t>
        </is>
      </c>
    </row>
    <row r="32">
      <c r="A32" s="5" t="inlineStr">
        <is>
          <t>2026-06-30</t>
        </is>
      </c>
      <c r="B32" s="5" t="inlineStr">
        <is>
          <t>morning_review</t>
        </is>
      </c>
      <c r="C32" s="5" t="inlineStr">
        <is>
          <t>10:30</t>
        </is>
      </c>
      <c r="D32" s="5" t="inlineStr">
        <is>
          <t>overdue</t>
        </is>
      </c>
      <c r="E32" s="5" t="inlineStr"/>
      <c r="F32" s="5" t="inlineStr">
        <is>
          <t>manual review / intraday check row</t>
        </is>
      </c>
      <c r="G32" s="5" t="inlineStr">
        <is>
          <t>复核早盘触发、无效、止损纪律。</t>
        </is>
      </c>
    </row>
    <row r="33">
      <c r="A33" s="3" t="inlineStr">
        <is>
          <t>2026-06-30</t>
        </is>
      </c>
      <c r="B33" s="3" t="inlineStr">
        <is>
          <t>midday_plan</t>
        </is>
      </c>
      <c r="C33" s="3" t="inlineStr">
        <is>
          <t>12:10</t>
        </is>
      </c>
      <c r="D33" s="3" t="inlineStr">
        <is>
          <t>pending</t>
        </is>
      </c>
      <c r="E33" s="3" t="inlineStr"/>
      <c r="F33" s="3" t="inlineStr">
        <is>
          <t>midday pipeline record / daily log</t>
        </is>
      </c>
      <c r="G33" s="3" t="inlineStr">
        <is>
          <t>上午结果和下午执行计划。</t>
        </is>
      </c>
    </row>
    <row r="34">
      <c r="A34" s="3" t="inlineStr">
        <is>
          <t>2026-06-30</t>
        </is>
      </c>
      <c r="B34" s="3" t="inlineStr">
        <is>
          <t>afternoon_review</t>
        </is>
      </c>
      <c r="C34" s="3" t="inlineStr">
        <is>
          <t>14:00</t>
        </is>
      </c>
      <c r="D34" s="3" t="inlineStr">
        <is>
          <t>pending</t>
        </is>
      </c>
      <c r="E34" s="3" t="inlineStr"/>
      <c r="F34" s="3" t="inlineStr">
        <is>
          <t>afternoon pipeline record / intraday check row</t>
        </is>
      </c>
      <c r="G34" s="3" t="inlineStr">
        <is>
          <t>午后加减仓或继续观察复核。</t>
        </is>
      </c>
    </row>
    <row r="35">
      <c r="A35" s="3" t="inlineStr">
        <is>
          <t>2026-06-30</t>
        </is>
      </c>
      <c r="B35" s="3" t="inlineStr">
        <is>
          <t>close_settlement</t>
        </is>
      </c>
      <c r="C35" s="3" t="inlineStr">
        <is>
          <t>15:20</t>
        </is>
      </c>
      <c r="D35" s="3" t="inlineStr">
        <is>
          <t>pending</t>
        </is>
      </c>
      <c r="E35" s="3" t="inlineStr"/>
      <c r="F35" s="3" t="inlineStr">
        <is>
          <t>DAY_SUMMARY / close pipeline record</t>
        </is>
      </c>
      <c r="G35" s="3" t="inlineStr">
        <is>
          <t>结算权益、现金、持仓、盈亏和风险状态。</t>
        </is>
      </c>
    </row>
    <row r="36">
      <c r="A36" s="3" t="inlineStr">
        <is>
          <t>2026-06-30</t>
        </is>
      </c>
      <c r="B36" s="3" t="inlineStr">
        <is>
          <t>post_close_audit</t>
        </is>
      </c>
      <c r="C36" s="3" t="inlineStr">
        <is>
          <t>16:30</t>
        </is>
      </c>
      <c r="D36" s="3" t="inlineStr">
        <is>
          <t>pending</t>
        </is>
      </c>
      <c r="E36" s="3" t="inlineStr"/>
      <c r="F36" s="3" t="inlineStr">
        <is>
          <t>pipeline_review / ops report</t>
        </is>
      </c>
      <c r="G36" s="3" t="inlineStr">
        <is>
          <t>审计缺失阶段、失败链路和次日动作。</t>
        </is>
      </c>
    </row>
  </sheetData>
  <autoFilter ref="A1:G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4" customWidth="1" min="3" max="3"/>
    <col width="64" customWidth="1" min="4" max="4"/>
  </cols>
  <sheetData>
    <row r="1">
      <c r="A1" s="1" t="inlineStr">
        <is>
          <t>项目</t>
        </is>
      </c>
      <c r="B1" s="1" t="inlineStr">
        <is>
          <t>日期</t>
        </is>
      </c>
      <c r="C1" s="1" t="inlineStr">
        <is>
          <t>数值</t>
        </is>
      </c>
      <c r="D1" s="1" t="inlineStr">
        <is>
          <t>说明</t>
        </is>
      </c>
    </row>
    <row r="2">
      <c r="A2" s="13" t="inlineStr">
        <is>
          <t>正式纸面账户期末权益</t>
        </is>
      </c>
      <c r="B2" s="13" t="inlineStr"/>
      <c r="C2" s="13" t="inlineStr"/>
      <c r="D2" s="13" t="inlineStr">
        <is>
          <t>来自交易总表的组合汇总行；这是账户净值口径。</t>
        </is>
      </c>
    </row>
    <row r="3">
      <c r="A3" s="13" t="inlineStr">
        <is>
          <t>正式纸面账户期末权益</t>
        </is>
      </c>
      <c r="B3" s="13" t="inlineStr">
        <is>
          <t>2026-06-23</t>
        </is>
      </c>
      <c r="C3" s="13" t="inlineStr">
        <is>
          <t>975434.47</t>
        </is>
      </c>
      <c r="D3" s="13" t="inlineStr">
        <is>
          <t>期初=975434.47；当日盈亏=0.0；现金=693805.47；市值=281629.0</t>
        </is>
      </c>
    </row>
    <row r="4">
      <c r="A4" s="13" t="inlineStr">
        <is>
          <t>正式纸面账户期末权益</t>
        </is>
      </c>
      <c r="B4" s="13" t="inlineStr">
        <is>
          <t>2026-06-24</t>
        </is>
      </c>
      <c r="C4" s="13" t="inlineStr">
        <is>
          <t>969598.01</t>
        </is>
      </c>
      <c r="D4" s="13" t="inlineStr">
        <is>
          <t>期初=975434.47；当日盈亏=-5836.46；现金=747105.91；市值=222492.1</t>
        </is>
      </c>
    </row>
    <row r="5">
      <c r="A5" s="13" t="inlineStr">
        <is>
          <t>正式纸面账户期末权益</t>
        </is>
      </c>
      <c r="B5" s="13" t="inlineStr">
        <is>
          <t>2026-06-25</t>
        </is>
      </c>
      <c r="C5" s="13" t="inlineStr">
        <is>
          <t>971318.91</t>
        </is>
      </c>
      <c r="D5" s="13" t="inlineStr">
        <is>
          <t>期初=969598.01；当日盈亏=1720.90；现金=747105.91；市值=224213.0</t>
        </is>
      </c>
    </row>
    <row r="6">
      <c r="A6" s="13" t="inlineStr">
        <is>
          <t>正式纸面账户期末权益</t>
        </is>
      </c>
      <c r="B6" s="13" t="inlineStr">
        <is>
          <t>2026-06-27</t>
        </is>
      </c>
      <c r="C6" s="13" t="inlineStr">
        <is>
          <t>968068.62</t>
        </is>
      </c>
      <c r="D6" s="13" t="inlineStr">
        <is>
          <t>期初=971318.91；当日盈亏=-3250.29；现金=841254.12；市值=126814.5</t>
        </is>
      </c>
    </row>
    <row r="7">
      <c r="A7" s="13" t="inlineStr">
        <is>
          <t>权益连续性检查</t>
        </is>
      </c>
      <c r="B7" s="13" t="inlineStr">
        <is>
          <t>2026-06-24</t>
        </is>
      </c>
      <c r="C7" s="13" t="inlineStr">
        <is>
          <t>通过</t>
        </is>
      </c>
      <c r="D7" s="13" t="inlineStr">
        <is>
          <t>2026-06-23期末=975434.47；2026-06-24期初=975434.47</t>
        </is>
      </c>
    </row>
    <row r="8">
      <c r="A8" s="13" t="inlineStr">
        <is>
          <t>权益连续性检查</t>
        </is>
      </c>
      <c r="B8" s="13" t="inlineStr">
        <is>
          <t>2026-06-25</t>
        </is>
      </c>
      <c r="C8" s="13" t="inlineStr">
        <is>
          <t>通过</t>
        </is>
      </c>
      <c r="D8" s="13" t="inlineStr">
        <is>
          <t>2026-06-24期末=969598.01；2026-06-25期初=969598.01</t>
        </is>
      </c>
    </row>
    <row r="9">
      <c r="A9" s="13" t="inlineStr">
        <is>
          <t>权益连续性检查</t>
        </is>
      </c>
      <c r="B9" s="13" t="inlineStr">
        <is>
          <t>2026-06-27</t>
        </is>
      </c>
      <c r="C9" s="13" t="inlineStr">
        <is>
          <t>通过</t>
        </is>
      </c>
      <c r="D9" s="13" t="inlineStr">
        <is>
          <t>2026-06-25期末=971318.91；2026-06-27期初=971318.91</t>
        </is>
      </c>
    </row>
    <row r="10">
      <c r="A10" s="13" t="inlineStr">
        <is>
          <t>回测结果，不计入账户净值</t>
        </is>
      </c>
      <c r="B10" s="13" t="inlineStr">
        <is>
          <t>2026-06-23</t>
        </is>
      </c>
      <c r="C10" s="13" t="inlineStr">
        <is>
          <t>期末权益1086989.62，总收益8.6990%，最大回撤10.8126%，Sharpe0.7550，交易314次，回测当前持仓600036/600941。；回测期末权益1086989.62</t>
        </is>
      </c>
      <c r="D10" s="13" t="inlineStr">
        <is>
          <t>回测是历史策略模拟收益，不是当天纸面账户收益；不得与组合汇总的总资产相加或比较为当日盈亏。</t>
        </is>
      </c>
    </row>
    <row r="11">
      <c r="A11" s="13" t="inlineStr">
        <is>
          <t>本次疑问解释</t>
        </is>
      </c>
      <c r="B11" s="13" t="inlineStr"/>
      <c r="C11" s="13" t="inlineStr"/>
      <c r="D11" s="13" t="inlineStr">
        <is>
          <t>6/23备注里的约8.7万收益来自回测期末权益1086989.62相对1000000初始资金，不是正式纸面账户当天收益；6/24总资产969598.01来自真实纸面持仓按当日价格结算。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2026-06-30T02:32:50Z</dcterms:created>
  <dcterms:modified xmlns:dcterms="http://purl.org/dc/terms/" xmlns:xsi="http://www.w3.org/2001/XMLSchema-instance" xsi:type="dcterms:W3CDTF">2026-06-30T02:32:50Z</dcterms:modified>
</cp:coreProperties>
</file>